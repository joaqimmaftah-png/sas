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020" activeTab="2"/>
  </bookViews>
  <sheets>
    <sheet name="QUOTE TEMPLATE" sheetId="10" r:id="rId1"/>
    <sheet name="Sheet1" sheetId="11" r:id="rId2"/>
    <sheet name="Stage 1" sheetId="12" r:id="rId3"/>
  </sheets>
  <definedNames>
    <definedName name="_xlnm._FilterDatabase" localSheetId="0" hidden="1">'QUOTE TEMPLATE'!$A$18:$Q$27</definedName>
    <definedName name="_xlnm.Print_Area" localSheetId="0">'QUOTE TEMPLATE'!$A$17:$I$43</definedName>
  </definedNames>
  <calcPr calcId="152511" refMode="R1C1"/>
</workbook>
</file>

<file path=xl/calcChain.xml><?xml version="1.0" encoding="utf-8"?>
<calcChain xmlns="http://schemas.openxmlformats.org/spreadsheetml/2006/main">
  <c r="N32" i="10" l="1"/>
  <c r="Q32" i="10"/>
  <c r="O20" i="10"/>
  <c r="O22" i="10"/>
  <c r="O23" i="10"/>
  <c r="O24" i="10"/>
  <c r="O25" i="10"/>
  <c r="O26" i="10"/>
  <c r="O27" i="10"/>
  <c r="O29" i="10"/>
  <c r="O30" i="10"/>
  <c r="O32" i="10"/>
  <c r="O33" i="10"/>
  <c r="O34" i="10"/>
  <c r="O35" i="10"/>
  <c r="O36" i="10"/>
  <c r="O37" i="10"/>
  <c r="O38" i="10"/>
  <c r="O39" i="10"/>
  <c r="O40" i="10"/>
  <c r="O41" i="10"/>
  <c r="N36" i="10"/>
  <c r="N31" i="10"/>
  <c r="O31" i="10" s="1"/>
  <c r="N28" i="10"/>
  <c r="O28" i="10" s="1"/>
  <c r="N21" i="10"/>
  <c r="O21" i="10" s="1"/>
  <c r="N19" i="10"/>
  <c r="R21" i="10"/>
  <c r="S21" i="10"/>
  <c r="S19" i="10"/>
  <c r="R39" i="10"/>
  <c r="R40" i="10"/>
  <c r="R37" i="10"/>
  <c r="R41" i="10" l="1"/>
  <c r="R36" i="10"/>
  <c r="R35" i="10"/>
  <c r="R34" i="10"/>
  <c r="R32" i="10"/>
  <c r="R31" i="10"/>
  <c r="R28" i="10"/>
  <c r="R19" i="10"/>
  <c r="O19" i="10" l="1"/>
  <c r="E39" i="11" l="1"/>
  <c r="D12" i="11"/>
  <c r="D6" i="11"/>
  <c r="J47" i="10" l="1"/>
  <c r="J53" i="10" l="1"/>
  <c r="K47" i="10"/>
  <c r="K53" i="10" l="1"/>
  <c r="G54" i="10" s="1"/>
  <c r="G57" i="10" l="1"/>
  <c r="A1" i="10" l="1"/>
  <c r="O54" i="10" l="1"/>
  <c r="G56" i="10" l="1"/>
  <c r="G58" i="10" l="1"/>
</calcChain>
</file>

<file path=xl/sharedStrings.xml><?xml version="1.0" encoding="utf-8"?>
<sst xmlns="http://schemas.openxmlformats.org/spreadsheetml/2006/main" count="241" uniqueCount="148">
  <si>
    <t>PROFORMA INVOICE</t>
  </si>
  <si>
    <t>TIN: 106-703-221</t>
  </si>
  <si>
    <t>VRN: 40-001712-E</t>
  </si>
  <si>
    <t>Date:</t>
  </si>
  <si>
    <t xml:space="preserve">Ref: </t>
  </si>
  <si>
    <t>QYT</t>
  </si>
  <si>
    <t>UNIT</t>
  </si>
  <si>
    <t>Sub-total</t>
  </si>
  <si>
    <t>Add: 18% VAT</t>
  </si>
  <si>
    <t xml:space="preserve">Terms and Conditions      </t>
  </si>
  <si>
    <t xml:space="preserve">                                                                                            </t>
  </si>
  <si>
    <t>We trust you will find our quotation acceptable and look forward to receiving your further instructions.</t>
  </si>
  <si>
    <t>Regards</t>
  </si>
  <si>
    <t>Sales Representative</t>
  </si>
  <si>
    <t>P. O Box 80407, Dar es Salaam. Head office: Plot No. 1337 Msonge Street, Mikocheni ‘A’.</t>
  </si>
  <si>
    <r>
      <t xml:space="preserve">Emails: </t>
    </r>
    <r>
      <rPr>
        <b/>
        <u/>
        <sz val="10"/>
        <color indexed="12"/>
        <rFont val="Calibri"/>
        <family val="2"/>
        <scheme val="minor"/>
      </rPr>
      <t>sales@sincrositewatch.com</t>
    </r>
    <r>
      <rPr>
        <b/>
        <sz val="10"/>
        <color indexed="8"/>
        <rFont val="Calibri"/>
        <family val="2"/>
        <scheme val="minor"/>
      </rPr>
      <t xml:space="preserve">; </t>
    </r>
    <r>
      <rPr>
        <b/>
        <u/>
        <sz val="10"/>
        <color indexed="12"/>
        <rFont val="Calibri"/>
        <family val="2"/>
        <scheme val="minor"/>
      </rPr>
      <t>operations@sincrositewatch.com</t>
    </r>
    <r>
      <rPr>
        <b/>
        <sz val="10"/>
        <color indexed="8"/>
        <rFont val="Calibri"/>
        <family val="2"/>
        <scheme val="minor"/>
      </rPr>
      <t xml:space="preserve">;Website: </t>
    </r>
    <r>
      <rPr>
        <b/>
        <u/>
        <sz val="10"/>
        <color indexed="12"/>
        <rFont val="Calibri"/>
        <family val="2"/>
        <scheme val="minor"/>
      </rPr>
      <t>www.sincrositewatch.com</t>
    </r>
  </si>
  <si>
    <t>Sincro Sitewatch Limited</t>
  </si>
  <si>
    <t xml:space="preserve">Total Amount Supply </t>
  </si>
  <si>
    <t>RATE
(TZS)</t>
  </si>
  <si>
    <t>TOTAL
(TZS)</t>
  </si>
  <si>
    <t>PT</t>
  </si>
  <si>
    <t>Payment Account Details</t>
  </si>
  <si>
    <r>
      <rPr>
        <b/>
        <sz val="9"/>
        <rFont val="Calibri"/>
        <family val="2"/>
        <scheme val="minor"/>
      </rPr>
      <t>Account Name</t>
    </r>
    <r>
      <rPr>
        <sz val="9"/>
        <rFont val="Calibri"/>
        <family val="2"/>
        <scheme val="minor"/>
      </rPr>
      <t>: Sincro Sitewatch Limited</t>
    </r>
  </si>
  <si>
    <r>
      <rPr>
        <b/>
        <sz val="9"/>
        <rFont val="Calibri"/>
        <family val="2"/>
        <scheme val="minor"/>
      </rPr>
      <t>Bank Name</t>
    </r>
    <r>
      <rPr>
        <sz val="9"/>
        <rFont val="Calibri"/>
        <family val="2"/>
        <scheme val="minor"/>
      </rPr>
      <t xml:space="preserve">: Azania Bank Limited </t>
    </r>
    <r>
      <rPr>
        <b/>
        <sz val="9"/>
        <rFont val="Calibri"/>
        <family val="2"/>
        <scheme val="minor"/>
      </rPr>
      <t>Branch Name:</t>
    </r>
    <r>
      <rPr>
        <sz val="9"/>
        <rFont val="Calibri"/>
        <family val="2"/>
        <scheme val="minor"/>
      </rPr>
      <t xml:space="preserve"> Masdo</t>
    </r>
  </si>
  <si>
    <r>
      <rPr>
        <b/>
        <sz val="9"/>
        <rFont val="Calibri"/>
        <family val="2"/>
        <scheme val="minor"/>
      </rPr>
      <t>Account No:</t>
    </r>
    <r>
      <rPr>
        <sz val="9"/>
        <rFont val="Calibri"/>
        <family val="2"/>
        <scheme val="minor"/>
      </rPr>
      <t xml:space="preserve"> (USD) 001010007030 or (TZS) 001000126051</t>
    </r>
  </si>
  <si>
    <t>Discounted Price</t>
  </si>
  <si>
    <t>Tel: +255 222 700971; Fax: +255 222 700970 Sales: +255 716 500902; Operations: +255 714 500900;</t>
  </si>
  <si>
    <t>DESCRIPTION</t>
  </si>
  <si>
    <r>
      <t>·</t>
    </r>
    <r>
      <rPr>
        <b/>
        <sz val="10"/>
        <color indexed="8"/>
        <rFont val="Calibri"/>
        <family val="2"/>
        <scheme val="minor"/>
      </rPr>
      <t> Power Generation &amp; Maintenance</t>
    </r>
  </si>
  <si>
    <r>
      <t>·</t>
    </r>
    <r>
      <rPr>
        <b/>
        <sz val="10"/>
        <color indexed="8"/>
        <rFont val="Calibri"/>
        <family val="2"/>
        <scheme val="minor"/>
      </rPr>
      <t> Equipment and Spares Supply</t>
    </r>
  </si>
  <si>
    <r>
      <t>·</t>
    </r>
    <r>
      <rPr>
        <b/>
        <sz val="10"/>
        <color indexed="8"/>
        <rFont val="Calibri"/>
        <family val="2"/>
        <scheme val="minor"/>
      </rPr>
      <t xml:space="preserve"> After Sales Support </t>
    </r>
  </si>
  <si>
    <r>
      <t>·</t>
    </r>
    <r>
      <rPr>
        <b/>
        <sz val="10"/>
        <color indexed="8"/>
        <rFont val="Calibri"/>
        <family val="2"/>
        <scheme val="minor"/>
      </rPr>
      <t xml:space="preserve"> Mechanical Engineering Services</t>
    </r>
  </si>
  <si>
    <r>
      <t>·</t>
    </r>
    <r>
      <rPr>
        <b/>
        <sz val="10"/>
        <color indexed="8"/>
        <rFont val="Calibri"/>
        <family val="2"/>
        <scheme val="minor"/>
      </rPr>
      <t> Electrical Engineering Services</t>
    </r>
  </si>
  <si>
    <r>
      <t>·</t>
    </r>
    <r>
      <rPr>
        <b/>
        <sz val="10"/>
        <color indexed="8"/>
        <rFont val="Calibri"/>
        <family val="2"/>
        <scheme val="minor"/>
      </rPr>
      <t> 24/7 National Operating Centre</t>
    </r>
  </si>
  <si>
    <t>PRICE BASE</t>
  </si>
  <si>
    <t>margin</t>
  </si>
  <si>
    <t>purchase</t>
  </si>
  <si>
    <t>unit selling</t>
  </si>
  <si>
    <t>SN</t>
  </si>
  <si>
    <t>TRANSPORT</t>
  </si>
  <si>
    <t>MATERIAL SUPPLY</t>
  </si>
  <si>
    <t>A</t>
  </si>
  <si>
    <r>
      <rPr>
        <b/>
        <sz val="9"/>
        <rFont val="Calibri"/>
        <family val="2"/>
        <scheme val="minor"/>
      </rPr>
      <t>Validity</t>
    </r>
    <r>
      <rPr>
        <sz val="9"/>
        <rFont val="Calibri"/>
        <family val="2"/>
        <scheme val="minor"/>
      </rPr>
      <t>:  14 days</t>
    </r>
  </si>
  <si>
    <t>total purchase</t>
  </si>
  <si>
    <t>B</t>
  </si>
  <si>
    <t>SPECS</t>
  </si>
  <si>
    <t>Lot</t>
  </si>
  <si>
    <t>MIC (T)  LTD</t>
  </si>
  <si>
    <t>P.O.BOX 2929</t>
  </si>
  <si>
    <t>DAR ES SALAAM</t>
  </si>
  <si>
    <t>TANZANIA</t>
  </si>
  <si>
    <t>SITE NAME</t>
  </si>
  <si>
    <t>REF NO</t>
  </si>
  <si>
    <t>SERVICE</t>
  </si>
  <si>
    <t>C</t>
  </si>
  <si>
    <t>Discount 5%</t>
  </si>
  <si>
    <t>Includes:-</t>
  </si>
  <si>
    <t xml:space="preserve">Transportation </t>
  </si>
  <si>
    <t>PC</t>
  </si>
  <si>
    <r>
      <t xml:space="preserve">Payment Terms: </t>
    </r>
    <r>
      <rPr>
        <sz val="9"/>
        <rFont val="Calibri"/>
        <family val="2"/>
        <scheme val="minor"/>
      </rPr>
      <t>LPO, 100% payment 30 Days after invoice date</t>
    </r>
  </si>
  <si>
    <t>PI 2202-0025 V1</t>
  </si>
  <si>
    <t xml:space="preserve">Pipe layout </t>
  </si>
  <si>
    <t>Fixing of urine sink</t>
  </si>
  <si>
    <t xml:space="preserve">Trench construction </t>
  </si>
  <si>
    <t>Pipe connection  on each end</t>
  </si>
  <si>
    <r>
      <rPr>
        <b/>
        <sz val="9"/>
        <rFont val="Calibri"/>
        <family val="2"/>
        <scheme val="minor"/>
      </rPr>
      <t>Delivery:</t>
    </r>
    <r>
      <rPr>
        <sz val="9"/>
        <rFont val="Calibri"/>
        <family val="2"/>
        <scheme val="minor"/>
      </rPr>
      <t xml:space="preserve"> Within a week</t>
    </r>
  </si>
  <si>
    <t>CLEANERS TOOLS</t>
  </si>
  <si>
    <t>SUPPLIER</t>
  </si>
  <si>
    <t>MOROGORO</t>
  </si>
  <si>
    <t>ITEM</t>
  </si>
  <si>
    <t>QTY</t>
  </si>
  <si>
    <t>AMOUNT</t>
  </si>
  <si>
    <t>ENGINE OIL 20LTS</t>
  </si>
  <si>
    <t>PCS</t>
  </si>
  <si>
    <t>BOX</t>
  </si>
  <si>
    <t>TANGA</t>
  </si>
  <si>
    <t>MAKAMBAKO</t>
  </si>
  <si>
    <t>ARUSHA</t>
  </si>
  <si>
    <t>MWANZA</t>
  </si>
  <si>
    <t>DODOMA</t>
  </si>
  <si>
    <t>TOTAL</t>
  </si>
  <si>
    <t>Transportation from stand to site</t>
  </si>
  <si>
    <t>pc</t>
  </si>
  <si>
    <t>lot</t>
  </si>
  <si>
    <t>Cement</t>
  </si>
  <si>
    <t>Wood- 4*2</t>
  </si>
  <si>
    <t>Buckets</t>
  </si>
  <si>
    <t>Nails</t>
  </si>
  <si>
    <t>Brooms</t>
  </si>
  <si>
    <t>Wirebrush</t>
  </si>
  <si>
    <t>kg</t>
  </si>
  <si>
    <t>Weatherguard- White</t>
  </si>
  <si>
    <t>Weatherguard- Blue</t>
  </si>
  <si>
    <t>Weatherguard- Green</t>
  </si>
  <si>
    <t>Emulsion White</t>
  </si>
  <si>
    <t>Gypsum powder- (Andika)</t>
  </si>
  <si>
    <t>Abrasive paper no.180</t>
  </si>
  <si>
    <t>Rollers</t>
  </si>
  <si>
    <t>Maskin tape</t>
  </si>
  <si>
    <t>Brush 3"</t>
  </si>
  <si>
    <t>Solvent</t>
  </si>
  <si>
    <t>m</t>
  </si>
  <si>
    <t>ltr</t>
  </si>
  <si>
    <t>NABAKI</t>
  </si>
  <si>
    <t>KAMAKA</t>
  </si>
  <si>
    <t>Y2K MWENGE STORE LTD</t>
  </si>
  <si>
    <t>Waterproof 40kg</t>
  </si>
  <si>
    <t>Painting oil broken white</t>
  </si>
  <si>
    <t>Painting oil- white</t>
  </si>
  <si>
    <t>Painting oil blue</t>
  </si>
  <si>
    <t>Painting oil black</t>
  </si>
  <si>
    <t>ZUBERI SALASALA</t>
  </si>
  <si>
    <t>Aggregates-Chipping 3m3</t>
  </si>
  <si>
    <t>Sand 3m3</t>
  </si>
  <si>
    <t>Y2K</t>
  </si>
  <si>
    <t>Prepare the Area</t>
  </si>
  <si>
    <t>Investigating the root cause of the cracks</t>
  </si>
  <si>
    <t>Cleaning the surface/ Removing existing defective paint and concrete</t>
  </si>
  <si>
    <t>Applying new layer of rooftop sealing membrane</t>
  </si>
  <si>
    <t xml:space="preserve"> Materials</t>
  </si>
  <si>
    <t xml:space="preserve"> Cement</t>
  </si>
  <si>
    <t>Sand</t>
  </si>
  <si>
    <t>Gravel</t>
  </si>
  <si>
    <t>Plastering and skimming</t>
  </si>
  <si>
    <t>Applying Primer undercoat and uppercoat of acrylic paint</t>
  </si>
  <si>
    <t>Gypsum powder</t>
  </si>
  <si>
    <t xml:space="preserve">Waterproof </t>
  </si>
  <si>
    <t>Start Date</t>
  </si>
  <si>
    <t>End Date</t>
  </si>
  <si>
    <t>Repairing the Rooftop/Fixing cracks</t>
  </si>
  <si>
    <t>ROOFTOP</t>
  </si>
  <si>
    <t>Removing existing defective painting</t>
  </si>
  <si>
    <t>Main Building</t>
  </si>
  <si>
    <t>Paints, Brushes, Rollers</t>
  </si>
  <si>
    <t>Lot (lorry moja)</t>
  </si>
  <si>
    <t>Bags</t>
  </si>
  <si>
    <t xml:space="preserve"> Lot (lorry moja)</t>
  </si>
  <si>
    <t xml:space="preserve">kg </t>
  </si>
  <si>
    <t>Startup QTY</t>
  </si>
  <si>
    <t xml:space="preserve">Brooms </t>
  </si>
  <si>
    <t>Brushes</t>
  </si>
  <si>
    <t>Unit Cost</t>
  </si>
  <si>
    <t>_</t>
  </si>
  <si>
    <t>Brushing and Cleaning</t>
  </si>
  <si>
    <t>Repair all cracks</t>
  </si>
  <si>
    <t>Removing the rusted/corroded mild steel sheets and applying anti-rust paint</t>
  </si>
  <si>
    <t>Wall Fence &amp; Main Gate</t>
  </si>
  <si>
    <t>Repair all cracks by Applying Primer undercoat and uppercoat of acrylic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</si>
</sst>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ر.س.&quot;\ * #,##0.00_-;_-&quot;ر.س.&quot;\ * #,##0.00\-;_-&quot;ر.س.&quot;\ * &quot;-&quot;??_-;_-@_-"/>
    <numFmt numFmtId="167" formatCode="[$-409]d\-mmm\-yyyy;@"/>
    <numFmt numFmtId="168" formatCode="_(* #,##0.00000000_);_(* \(#,##0.00000000\);_(* &quot;-&quot;??_);_(@_)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4BACC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1"/>
      <name val="Symbol"/>
      <family val="1"/>
      <charset val="2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name val="Bookman Old Style"/>
      <family val="1"/>
    </font>
    <font>
      <sz val="11"/>
      <name val="Calibri"/>
      <family val="2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2" fillId="2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" fillId="0" borderId="0"/>
    <xf numFmtId="0" fontId="24" fillId="0" borderId="0"/>
  </cellStyleXfs>
  <cellXfs count="215">
    <xf numFmtId="0" fontId="0" fillId="0" borderId="0" xfId="0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8" fillId="0" borderId="0" xfId="0" applyFont="1" applyAlignment="1"/>
    <xf numFmtId="0" fontId="1" fillId="0" borderId="0" xfId="0" applyFont="1" applyFill="1" applyBorder="1" applyAlignment="1"/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10" fillId="0" borderId="0" xfId="0" applyFont="1" applyAlignment="1"/>
    <xf numFmtId="0" fontId="11" fillId="0" borderId="0" xfId="0" applyFont="1" applyAlignment="1"/>
    <xf numFmtId="0" fontId="9" fillId="3" borderId="9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4" fillId="0" borderId="0" xfId="0" applyFont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43" fontId="6" fillId="0" borderId="0" xfId="8" applyNumberFormat="1" applyFont="1" applyBorder="1" applyAlignment="1"/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9" fillId="3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vertical="top"/>
    </xf>
    <xf numFmtId="0" fontId="6" fillId="0" borderId="6" xfId="0" applyFont="1" applyBorder="1" applyAlignment="1">
      <alignment horizontal="center" vertical="top" wrapText="1"/>
    </xf>
    <xf numFmtId="0" fontId="0" fillId="0" borderId="0" xfId="0" applyFont="1" applyAlignment="1"/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Fill="1" applyBorder="1" applyAlignment="1">
      <alignment vertical="center" wrapText="1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7" fontId="16" fillId="0" borderId="12" xfId="0" applyNumberFormat="1" applyFont="1" applyBorder="1" applyAlignment="1">
      <alignment vertical="center" wrapText="1"/>
    </xf>
    <xf numFmtId="165" fontId="0" fillId="0" borderId="12" xfId="8" applyFont="1" applyBorder="1" applyAlignment="1">
      <alignment vertical="center" wrapText="1"/>
    </xf>
    <xf numFmtId="0" fontId="0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43" fontId="0" fillId="0" borderId="12" xfId="8" applyNumberFormat="1" applyFont="1" applyBorder="1" applyAlignment="1">
      <alignment vertical="center" wrapText="1"/>
    </xf>
    <xf numFmtId="165" fontId="0" fillId="0" borderId="0" xfId="0" applyNumberFormat="1" applyFont="1" applyAlignment="1"/>
    <xf numFmtId="0" fontId="0" fillId="0" borderId="0" xfId="0" applyFont="1" applyFill="1" applyBorder="1" applyAlignment="1">
      <alignment vertical="center" wrapText="1"/>
    </xf>
    <xf numFmtId="165" fontId="0" fillId="0" borderId="0" xfId="8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top"/>
    </xf>
    <xf numFmtId="165" fontId="8" fillId="0" borderId="12" xfId="8" applyFont="1" applyFill="1" applyBorder="1" applyAlignment="1">
      <alignment vertical="center" wrapText="1"/>
    </xf>
    <xf numFmtId="165" fontId="8" fillId="0" borderId="12" xfId="0" applyNumberFormat="1" applyFont="1" applyFill="1" applyBorder="1" applyAlignment="1">
      <alignment vertical="center" wrapText="1"/>
    </xf>
    <xf numFmtId="17" fontId="16" fillId="0" borderId="12" xfId="0" applyNumberFormat="1" applyFont="1" applyBorder="1" applyAlignment="1">
      <alignment vertical="center"/>
    </xf>
    <xf numFmtId="165" fontId="0" fillId="0" borderId="0" xfId="8" applyFont="1" applyAlignment="1"/>
    <xf numFmtId="17" fontId="8" fillId="0" borderId="12" xfId="0" applyNumberFormat="1" applyFont="1" applyFill="1" applyBorder="1" applyAlignment="1">
      <alignment vertical="center" wrapText="1"/>
    </xf>
    <xf numFmtId="0" fontId="8" fillId="0" borderId="12" xfId="0" applyNumberFormat="1" applyFont="1" applyFill="1" applyBorder="1" applyAlignment="1">
      <alignment vertical="center"/>
    </xf>
    <xf numFmtId="17" fontId="20" fillId="0" borderId="12" xfId="0" applyNumberFormat="1" applyFont="1" applyFill="1" applyBorder="1" applyAlignment="1">
      <alignment vertical="center" wrapText="1"/>
    </xf>
    <xf numFmtId="0" fontId="21" fillId="0" borderId="12" xfId="8" applyNumberFormat="1" applyFont="1" applyFill="1" applyBorder="1" applyAlignment="1">
      <alignment horizontal="right" wrapText="1"/>
    </xf>
    <xf numFmtId="0" fontId="21" fillId="0" borderId="12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17" fontId="16" fillId="0" borderId="4" xfId="0" applyNumberFormat="1" applyFont="1" applyBorder="1" applyAlignment="1">
      <alignment vertical="center"/>
    </xf>
    <xf numFmtId="165" fontId="8" fillId="0" borderId="6" xfId="8" applyFont="1" applyBorder="1" applyAlignment="1">
      <alignment vertical="center" wrapText="1"/>
    </xf>
    <xf numFmtId="3" fontId="0" fillId="0" borderId="0" xfId="0" applyNumberFormat="1" applyFont="1" applyAlignment="1"/>
    <xf numFmtId="168" fontId="0" fillId="0" borderId="0" xfId="8" applyNumberFormat="1" applyFont="1" applyFill="1" applyBorder="1" applyAlignment="1">
      <alignment wrapText="1"/>
    </xf>
    <xf numFmtId="165" fontId="8" fillId="0" borderId="12" xfId="8" applyFont="1" applyFill="1" applyBorder="1" applyAlignment="1">
      <alignment vertical="center"/>
    </xf>
    <xf numFmtId="165" fontId="6" fillId="0" borderId="0" xfId="0" applyNumberFormat="1" applyFont="1" applyAlignment="1"/>
    <xf numFmtId="9" fontId="21" fillId="0" borderId="12" xfId="10" applyFont="1" applyFill="1" applyBorder="1" applyAlignment="1">
      <alignment horizontal="right" wrapText="1"/>
    </xf>
    <xf numFmtId="165" fontId="8" fillId="0" borderId="0" xfId="8" applyFont="1" applyFill="1" applyBorder="1" applyAlignment="1">
      <alignment wrapText="1"/>
    </xf>
    <xf numFmtId="165" fontId="0" fillId="0" borderId="0" xfId="8" applyFont="1" applyFill="1" applyBorder="1" applyAlignment="1"/>
    <xf numFmtId="165" fontId="0" fillId="0" borderId="0" xfId="8" applyFont="1" applyFill="1" applyBorder="1" applyAlignment="1">
      <alignment vertical="center" wrapText="1"/>
    </xf>
    <xf numFmtId="43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vertical="center" wrapText="1"/>
    </xf>
    <xf numFmtId="9" fontId="16" fillId="0" borderId="12" xfId="0" applyNumberFormat="1" applyFont="1" applyBorder="1" applyAlignment="1">
      <alignment vertical="center"/>
    </xf>
    <xf numFmtId="4" fontId="8" fillId="0" borderId="12" xfId="0" applyNumberFormat="1" applyFont="1" applyFill="1" applyBorder="1" applyAlignment="1">
      <alignment vertical="center"/>
    </xf>
    <xf numFmtId="165" fontId="8" fillId="0" borderId="12" xfId="8" applyFont="1" applyBorder="1" applyAlignment="1">
      <alignment vertical="center" wrapText="1"/>
    </xf>
    <xf numFmtId="0" fontId="6" fillId="0" borderId="0" xfId="0" applyFont="1" applyAlignment="1">
      <alignment horizontal="left"/>
    </xf>
    <xf numFmtId="167" fontId="8" fillId="0" borderId="0" xfId="0" applyNumberFormat="1" applyFont="1" applyFill="1" applyAlignment="1">
      <alignment horizontal="right"/>
    </xf>
    <xf numFmtId="17" fontId="20" fillId="0" borderId="3" xfId="0" applyNumberFormat="1" applyFont="1" applyFill="1" applyBorder="1" applyAlignment="1">
      <alignment vertical="center" wrapText="1"/>
    </xf>
    <xf numFmtId="0" fontId="8" fillId="0" borderId="0" xfId="0" applyNumberFormat="1" applyFont="1" applyAlignment="1"/>
    <xf numFmtId="0" fontId="8" fillId="0" borderId="12" xfId="0" applyFont="1" applyBorder="1" applyAlignment="1"/>
    <xf numFmtId="165" fontId="8" fillId="0" borderId="0" xfId="8" applyFont="1" applyAlignment="1"/>
    <xf numFmtId="0" fontId="8" fillId="0" borderId="12" xfId="0" applyNumberFormat="1" applyFont="1" applyBorder="1" applyAlignment="1">
      <alignment horizontal="center" wrapText="1"/>
    </xf>
    <xf numFmtId="165" fontId="8" fillId="0" borderId="12" xfId="0" applyNumberFormat="1" applyFont="1" applyFill="1" applyBorder="1" applyAlignment="1">
      <alignment vertical="center"/>
    </xf>
    <xf numFmtId="0" fontId="21" fillId="0" borderId="12" xfId="8" applyNumberFormat="1" applyFont="1" applyFill="1" applyBorder="1" applyAlignment="1">
      <alignment horizontal="right"/>
    </xf>
    <xf numFmtId="0" fontId="26" fillId="0" borderId="0" xfId="0" applyFont="1"/>
    <xf numFmtId="0" fontId="8" fillId="0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9" fontId="16" fillId="0" borderId="4" xfId="0" applyNumberFormat="1" applyFont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17" fontId="16" fillId="0" borderId="12" xfId="0" applyNumberFormat="1" applyFont="1" applyFill="1" applyBorder="1" applyAlignment="1">
      <alignment vertical="center" wrapText="1"/>
    </xf>
    <xf numFmtId="17" fontId="16" fillId="0" borderId="4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7" fillId="0" borderId="12" xfId="0" applyFont="1" applyBorder="1" applyAlignment="1">
      <alignment vertical="top"/>
    </xf>
    <xf numFmtId="165" fontId="0" fillId="0" borderId="12" xfId="8" applyFont="1" applyFill="1" applyBorder="1" applyAlignment="1">
      <alignment vertical="top"/>
    </xf>
    <xf numFmtId="0" fontId="19" fillId="0" borderId="3" xfId="0" applyFont="1" applyBorder="1" applyAlignment="1">
      <alignment horizontal="left" vertical="top" wrapText="1"/>
    </xf>
    <xf numFmtId="0" fontId="19" fillId="0" borderId="12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19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165" fontId="0" fillId="0" borderId="12" xfId="8" applyFont="1" applyFill="1" applyBorder="1" applyAlignment="1">
      <alignment vertical="center"/>
    </xf>
    <xf numFmtId="0" fontId="23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vertical="center" wrapText="1"/>
    </xf>
    <xf numFmtId="0" fontId="27" fillId="0" borderId="12" xfId="0" applyFont="1" applyBorder="1" applyAlignment="1">
      <alignment vertical="center"/>
    </xf>
    <xf numFmtId="0" fontId="16" fillId="0" borderId="12" xfId="0" applyFont="1" applyFill="1" applyBorder="1" applyAlignment="1">
      <alignment horizontal="left" vertical="center"/>
    </xf>
    <xf numFmtId="17" fontId="16" fillId="0" borderId="12" xfId="0" applyNumberFormat="1" applyFont="1" applyBorder="1" applyAlignment="1">
      <alignment horizontal="center" vertical="center"/>
    </xf>
    <xf numFmtId="17" fontId="16" fillId="0" borderId="1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4" borderId="12" xfId="0" applyFont="1" applyFill="1" applyBorder="1" applyAlignment="1"/>
    <xf numFmtId="165" fontId="0" fillId="0" borderId="12" xfId="8" applyFont="1" applyBorder="1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8" fillId="0" borderId="12" xfId="8" applyFont="1" applyBorder="1" applyAlignment="1"/>
    <xf numFmtId="43" fontId="8" fillId="0" borderId="12" xfId="0" applyNumberFormat="1" applyFont="1" applyBorder="1" applyAlignment="1"/>
    <xf numFmtId="165" fontId="8" fillId="4" borderId="12" xfId="8" applyFont="1" applyFill="1" applyBorder="1"/>
    <xf numFmtId="0" fontId="6" fillId="0" borderId="0" xfId="0" applyFont="1" applyAlignment="1">
      <alignment horizontal="center"/>
    </xf>
    <xf numFmtId="0" fontId="27" fillId="0" borderId="12" xfId="0" applyFont="1" applyBorder="1" applyAlignment="1">
      <alignment vertical="top" wrapText="1"/>
    </xf>
    <xf numFmtId="17" fontId="16" fillId="0" borderId="12" xfId="0" applyNumberFormat="1" applyFont="1" applyFill="1" applyBorder="1" applyAlignment="1">
      <alignment vertical="top"/>
    </xf>
    <xf numFmtId="165" fontId="8" fillId="0" borderId="12" xfId="8" applyFont="1" applyBorder="1" applyAlignment="1">
      <alignment vertical="top"/>
    </xf>
    <xf numFmtId="165" fontId="8" fillId="0" borderId="12" xfId="8" applyFont="1" applyFill="1" applyBorder="1" applyAlignment="1">
      <alignment vertical="top"/>
    </xf>
    <xf numFmtId="0" fontId="23" fillId="5" borderId="0" xfId="0" applyFont="1" applyFill="1" applyBorder="1" applyAlignment="1">
      <alignment vertical="top"/>
    </xf>
    <xf numFmtId="0" fontId="23" fillId="5" borderId="0" xfId="0" applyFont="1" applyFill="1" applyBorder="1" applyAlignment="1">
      <alignment horizontal="center" vertical="top"/>
    </xf>
    <xf numFmtId="4" fontId="23" fillId="0" borderId="0" xfId="0" applyNumberFormat="1" applyFont="1" applyBorder="1" applyAlignment="1">
      <alignment vertical="top"/>
    </xf>
    <xf numFmtId="165" fontId="23" fillId="0" borderId="0" xfId="8" applyFont="1" applyBorder="1" applyAlignment="1">
      <alignment horizontal="right" vertical="top"/>
    </xf>
    <xf numFmtId="0" fontId="7" fillId="0" borderId="0" xfId="0" applyFont="1" applyAlignment="1">
      <alignment horizontal="center"/>
    </xf>
    <xf numFmtId="165" fontId="0" fillId="4" borderId="12" xfId="8" applyFont="1" applyFill="1" applyBorder="1" applyAlignment="1"/>
    <xf numFmtId="0" fontId="0" fillId="0" borderId="12" xfId="0" applyFont="1" applyBorder="1" applyAlignment="1">
      <alignment horizontal="left" vertical="center" wrapText="1"/>
    </xf>
    <xf numFmtId="17" fontId="8" fillId="0" borderId="12" xfId="0" applyNumberFormat="1" applyFont="1" applyFill="1" applyBorder="1" applyAlignment="1">
      <alignment vertical="center"/>
    </xf>
    <xf numFmtId="0" fontId="0" fillId="4" borderId="3" xfId="0" applyFill="1" applyBorder="1"/>
    <xf numFmtId="0" fontId="0" fillId="4" borderId="12" xfId="0" applyFill="1" applyBorder="1"/>
    <xf numFmtId="165" fontId="8" fillId="0" borderId="3" xfId="0" applyNumberFormat="1" applyFont="1" applyFill="1" applyBorder="1" applyAlignment="1">
      <alignment vertical="center" wrapText="1"/>
    </xf>
    <xf numFmtId="165" fontId="21" fillId="0" borderId="0" xfId="8" applyFont="1" applyBorder="1" applyAlignment="1"/>
    <xf numFmtId="0" fontId="0" fillId="0" borderId="0" xfId="0" applyAlignment="1">
      <alignment vertical="center"/>
    </xf>
    <xf numFmtId="0" fontId="23" fillId="6" borderId="15" xfId="0" applyFont="1" applyFill="1" applyBorder="1" applyAlignment="1">
      <alignment vertical="center"/>
    </xf>
    <xf numFmtId="0" fontId="28" fillId="7" borderId="16" xfId="0" applyFont="1" applyFill="1" applyBorder="1" applyAlignment="1">
      <alignment vertical="center"/>
    </xf>
    <xf numFmtId="0" fontId="28" fillId="7" borderId="17" xfId="0" applyFont="1" applyFill="1" applyBorder="1" applyAlignment="1">
      <alignment vertical="center"/>
    </xf>
    <xf numFmtId="0" fontId="29" fillId="6" borderId="17" xfId="0" applyFont="1" applyFill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horizontal="right" vertical="center"/>
    </xf>
    <xf numFmtId="0" fontId="23" fillId="0" borderId="17" xfId="0" applyFont="1" applyBorder="1" applyAlignment="1">
      <alignment vertical="center"/>
    </xf>
    <xf numFmtId="0" fontId="29" fillId="0" borderId="17" xfId="0" applyFont="1" applyBorder="1" applyAlignment="1">
      <alignment horizontal="right" vertical="center"/>
    </xf>
    <xf numFmtId="3" fontId="29" fillId="0" borderId="17" xfId="0" applyNumberFormat="1" applyFont="1" applyBorder="1" applyAlignment="1">
      <alignment horizontal="right" vertical="center"/>
    </xf>
    <xf numFmtId="0" fontId="23" fillId="6" borderId="17" xfId="0" applyFont="1" applyFill="1" applyBorder="1" applyAlignment="1">
      <alignment vertical="center"/>
    </xf>
    <xf numFmtId="0" fontId="29" fillId="0" borderId="17" xfId="0" applyFont="1" applyBorder="1" applyAlignment="1">
      <alignment vertical="center"/>
    </xf>
    <xf numFmtId="165" fontId="29" fillId="6" borderId="17" xfId="8" applyFont="1" applyFill="1" applyBorder="1" applyAlignment="1">
      <alignment vertical="center"/>
    </xf>
    <xf numFmtId="165" fontId="29" fillId="6" borderId="17" xfId="8" applyFont="1" applyFill="1" applyBorder="1" applyAlignment="1">
      <alignment horizontal="right" vertical="center"/>
    </xf>
    <xf numFmtId="165" fontId="29" fillId="6" borderId="17" xfId="0" applyNumberFormat="1" applyFont="1" applyFill="1" applyBorder="1" applyAlignment="1">
      <alignment horizontal="right" vertical="center"/>
    </xf>
    <xf numFmtId="0" fontId="0" fillId="0" borderId="12" xfId="0" applyBorder="1"/>
    <xf numFmtId="0" fontId="0" fillId="0" borderId="12" xfId="0" applyBorder="1"/>
    <xf numFmtId="0" fontId="0" fillId="0" borderId="12" xfId="0" applyFill="1" applyBorder="1"/>
    <xf numFmtId="0" fontId="25" fillId="0" borderId="12" xfId="0" applyFont="1" applyBorder="1" applyAlignment="1">
      <alignment wrapText="1"/>
    </xf>
    <xf numFmtId="0" fontId="0" fillId="0" borderId="12" xfId="0" applyBorder="1"/>
    <xf numFmtId="0" fontId="30" fillId="0" borderId="12" xfId="0" applyFont="1" applyBorder="1"/>
    <xf numFmtId="0" fontId="30" fillId="0" borderId="12" xfId="0" applyFont="1" applyBorder="1" applyAlignment="1">
      <alignment vertical="center"/>
    </xf>
    <xf numFmtId="0" fontId="0" fillId="0" borderId="12" xfId="0" applyBorder="1" applyAlignment="1">
      <alignment wrapText="1"/>
    </xf>
    <xf numFmtId="1" fontId="0" fillId="0" borderId="12" xfId="0" applyNumberFormat="1" applyBorder="1" applyAlignment="1">
      <alignment horizontal="right"/>
    </xf>
    <xf numFmtId="1" fontId="0" fillId="0" borderId="12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center" vertical="center"/>
    </xf>
    <xf numFmtId="43" fontId="6" fillId="4" borderId="4" xfId="8" applyNumberFormat="1" applyFont="1" applyFill="1" applyBorder="1" applyAlignment="1">
      <alignment horizontal="center"/>
    </xf>
    <xf numFmtId="43" fontId="6" fillId="4" borderId="5" xfId="8" applyNumberFormat="1" applyFont="1" applyFill="1" applyBorder="1" applyAlignment="1">
      <alignment horizontal="center"/>
    </xf>
    <xf numFmtId="43" fontId="6" fillId="4" borderId="6" xfId="8" applyNumberFormat="1" applyFont="1" applyFill="1" applyBorder="1" applyAlignment="1">
      <alignment horizontal="center"/>
    </xf>
    <xf numFmtId="165" fontId="6" fillId="4" borderId="4" xfId="8" applyFont="1" applyFill="1" applyBorder="1" applyAlignment="1">
      <alignment horizontal="center"/>
    </xf>
    <xf numFmtId="165" fontId="6" fillId="4" borderId="5" xfId="8" applyFont="1" applyFill="1" applyBorder="1" applyAlignment="1">
      <alignment horizontal="center"/>
    </xf>
    <xf numFmtId="165" fontId="6" fillId="4" borderId="6" xfId="8" applyFont="1" applyFill="1" applyBorder="1" applyAlignment="1">
      <alignment horizontal="center"/>
    </xf>
    <xf numFmtId="165" fontId="0" fillId="0" borderId="3" xfId="8" applyFont="1" applyBorder="1" applyAlignment="1">
      <alignment horizontal="center" vertical="center" wrapText="1"/>
    </xf>
    <xf numFmtId="165" fontId="0" fillId="0" borderId="13" xfId="8" applyFont="1" applyBorder="1" applyAlignment="1">
      <alignment horizontal="center" vertical="center" wrapText="1"/>
    </xf>
    <xf numFmtId="165" fontId="0" fillId="0" borderId="14" xfId="8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0" fontId="28" fillId="7" borderId="19" xfId="0" applyFont="1" applyFill="1" applyBorder="1" applyAlignment="1">
      <alignment horizontal="center" vertical="center"/>
    </xf>
    <xf numFmtId="0" fontId="28" fillId="7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31" fillId="0" borderId="0" xfId="0" applyFont="1" applyAlignment="1">
      <alignment wrapText="1"/>
    </xf>
  </cellXfs>
  <cellStyles count="16">
    <cellStyle name="Comma" xfId="8" builtinId="3"/>
    <cellStyle name="Comma 2" xfId="1"/>
    <cellStyle name="Comma 3" xfId="9"/>
    <cellStyle name="Comma 4" xfId="12"/>
    <cellStyle name="Currency 2" xfId="2"/>
    <cellStyle name="Currency 3" xfId="3"/>
    <cellStyle name="Normal" xfId="0" builtinId="0"/>
    <cellStyle name="Normal 2" xfId="4"/>
    <cellStyle name="Normal 2 2" xfId="15"/>
    <cellStyle name="Normal 3" xfId="11"/>
    <cellStyle name="Normal 4 2 2" xfId="14"/>
    <cellStyle name="Note 2" xfId="5"/>
    <cellStyle name="Percent" xfId="10" builtinId="5"/>
    <cellStyle name="Percent 2" xfId="6"/>
    <cellStyle name="Percent 3" xfId="7"/>
    <cellStyle name="Percent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35719</xdr:colOff>
      <xdr:row>2</xdr:row>
      <xdr:rowOff>35719</xdr:rowOff>
    </xdr:from>
    <xdr:to>
      <xdr:col>1</xdr:col>
      <xdr:colOff>842962</xdr:colOff>
      <xdr:row>8</xdr:row>
      <xdr:rowOff>7667</xdr:rowOff>
    </xdr:to>
    <xdr:pic>
      <xdr:nvPicPr>
        <xdr:cNvPr id="3" name="Picture 5" descr="Description: SSW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369094"/>
          <a:ext cx="1212056" cy="1114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833438</xdr:colOff>
      <xdr:row>2</xdr:row>
      <xdr:rowOff>83343</xdr:rowOff>
    </xdr:from>
    <xdr:to>
      <xdr:col>1</xdr:col>
      <xdr:colOff>3131343</xdr:colOff>
      <xdr:row>7</xdr:row>
      <xdr:rowOff>178594</xdr:rowOff>
    </xdr:to>
    <xdr:pic>
      <xdr:nvPicPr>
        <xdr:cNvPr id="4" name="Picture 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9" b="11632"/>
        <a:stretch/>
      </xdr:blipFill>
      <xdr:spPr bwMode="auto">
        <a:xfrm>
          <a:off x="1131094" y="464343"/>
          <a:ext cx="2297905" cy="1047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7"/>
  <sheetViews>
    <sheetView view="pageBreakPreview" topLeftCell="A18" zoomScale="80" zoomScaleNormal="80" zoomScaleSheetLayoutView="80" workbookViewId="0">
      <pane xSplit="11" topLeftCell="L1" activePane="topRight" state="frozen"/>
      <selection activeCell="A14" sqref="A14"/>
      <selection pane="topRight" activeCell="C24" sqref="C24"/>
    </sheetView>
  </sheetViews>
  <sheetFormatPr defaultColWidth="9.1796875" defaultRowHeight="14.5" x14ac:dyDescent="0.35"/>
  <cols>
    <col min="1" max="1" width="4.453125" style="114" customWidth="1"/>
    <col min="2" max="2" width="51.26953125" style="4" customWidth="1"/>
    <col min="3" max="3" width="27.54296875" style="4" customWidth="1"/>
    <col min="4" max="4" width="8.453125" style="4" customWidth="1"/>
    <col min="5" max="5" width="3.453125" style="19" customWidth="1"/>
    <col min="6" max="6" width="6.26953125" style="19" customWidth="1"/>
    <col min="7" max="7" width="7.81640625" style="19" customWidth="1"/>
    <col min="8" max="8" width="7.54296875" style="124" customWidth="1"/>
    <col min="9" max="9" width="5.7265625" style="124" bestFit="1" customWidth="1"/>
    <col min="10" max="10" width="21" style="4" customWidth="1"/>
    <col min="11" max="11" width="17.453125" style="4" hidden="1" customWidth="1"/>
    <col min="12" max="12" width="15.1796875" style="27" hidden="1" customWidth="1"/>
    <col min="13" max="13" width="13.54296875" style="27" hidden="1" customWidth="1"/>
    <col min="14" max="14" width="14.453125" style="27" customWidth="1"/>
    <col min="15" max="15" width="15.54296875" style="27" bestFit="1" customWidth="1"/>
    <col min="16" max="16" width="22.54296875" style="27" customWidth="1"/>
    <col min="17" max="17" width="29.1796875" style="71" bestFit="1" customWidth="1"/>
    <col min="18" max="18" width="18" style="6" customWidth="1"/>
    <col min="19" max="19" width="24.1796875" style="6" customWidth="1"/>
    <col min="20" max="22" width="18" style="6" customWidth="1"/>
    <col min="23" max="23" width="15.81640625" style="27" customWidth="1"/>
    <col min="24" max="24" width="15.26953125" style="27" bestFit="1" customWidth="1"/>
    <col min="25" max="25" width="14.7265625" style="27" customWidth="1"/>
    <col min="26" max="26" width="13.54296875" style="27" bestFit="1" customWidth="1"/>
    <col min="27" max="27" width="17.453125" style="27" bestFit="1" customWidth="1"/>
    <col min="28" max="33" width="9.1796875" style="27"/>
    <col min="34" max="16384" width="9.1796875" style="3"/>
  </cols>
  <sheetData>
    <row r="1" spans="1:22" x14ac:dyDescent="0.35">
      <c r="A1" s="188" t="str">
        <f ca="1">CELL("filename")</f>
        <v>C:\Users\Admin\Desktop\[Copy of BOQ (2).xlsx]Stage 1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Q1" s="27"/>
      <c r="R1" s="27"/>
      <c r="S1" s="27"/>
      <c r="T1" s="27"/>
      <c r="U1" s="27"/>
      <c r="V1" s="27"/>
    </row>
    <row r="2" spans="1:22" x14ac:dyDescent="0.3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2" x14ac:dyDescent="0.35">
      <c r="J3" s="36" t="s">
        <v>28</v>
      </c>
      <c r="Q3" s="27"/>
      <c r="R3" s="27"/>
      <c r="S3" s="27"/>
      <c r="T3" s="27"/>
      <c r="U3" s="27"/>
      <c r="V3" s="27"/>
    </row>
    <row r="4" spans="1:22" x14ac:dyDescent="0.35">
      <c r="J4" s="36" t="s">
        <v>29</v>
      </c>
    </row>
    <row r="5" spans="1:22" x14ac:dyDescent="0.35">
      <c r="J5" s="36" t="s">
        <v>30</v>
      </c>
      <c r="Q5" s="27"/>
      <c r="R5" s="27"/>
      <c r="S5" s="27"/>
      <c r="T5" s="27"/>
      <c r="U5" s="27"/>
      <c r="V5" s="27"/>
    </row>
    <row r="6" spans="1:22" x14ac:dyDescent="0.35">
      <c r="J6" s="36" t="s">
        <v>31</v>
      </c>
    </row>
    <row r="7" spans="1:22" x14ac:dyDescent="0.35">
      <c r="J7" s="36" t="s">
        <v>32</v>
      </c>
      <c r="Q7" s="27"/>
      <c r="R7" s="27"/>
      <c r="S7" s="27"/>
      <c r="T7" s="27"/>
      <c r="U7" s="27"/>
      <c r="V7" s="27"/>
    </row>
    <row r="8" spans="1:22" x14ac:dyDescent="0.35">
      <c r="J8" s="36" t="s">
        <v>33</v>
      </c>
    </row>
    <row r="9" spans="1:22" s="27" customFormat="1" x14ac:dyDescent="0.35">
      <c r="A9" s="189" t="s">
        <v>0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</row>
    <row r="10" spans="1:22" s="27" customFormat="1" x14ac:dyDescent="0.35">
      <c r="A10" s="190" t="s">
        <v>1</v>
      </c>
      <c r="B10" s="190"/>
      <c r="C10" s="68"/>
      <c r="D10" s="80"/>
      <c r="E10" s="20"/>
      <c r="F10" s="20"/>
      <c r="G10" s="20"/>
      <c r="H10" s="125"/>
      <c r="I10" s="125"/>
      <c r="K10" s="1" t="s">
        <v>2</v>
      </c>
      <c r="Q10" s="71"/>
      <c r="R10" s="6"/>
      <c r="S10" s="6"/>
      <c r="T10" s="6"/>
      <c r="U10" s="6"/>
      <c r="V10" s="6"/>
    </row>
    <row r="11" spans="1:22" s="27" customFormat="1" x14ac:dyDescent="0.35">
      <c r="A11" s="115"/>
      <c r="B11" s="77"/>
      <c r="C11" s="68"/>
      <c r="D11" s="80"/>
      <c r="E11" s="20"/>
      <c r="F11" s="20"/>
      <c r="G11" s="20"/>
      <c r="H11" s="125"/>
      <c r="I11" s="125"/>
      <c r="K11" s="1"/>
    </row>
    <row r="12" spans="1:22" s="27" customFormat="1" x14ac:dyDescent="0.35">
      <c r="A12" s="194" t="s">
        <v>47</v>
      </c>
      <c r="B12" s="194"/>
      <c r="C12" s="194"/>
      <c r="D12" s="194"/>
      <c r="E12" s="194"/>
      <c r="F12" s="194"/>
      <c r="G12" s="194"/>
      <c r="H12" s="194"/>
      <c r="I12" s="140"/>
      <c r="J12" s="5"/>
      <c r="K12" s="5"/>
      <c r="Q12" s="71"/>
      <c r="R12" s="6"/>
      <c r="S12" s="6"/>
      <c r="T12" s="6"/>
      <c r="U12" s="6"/>
      <c r="V12" s="6"/>
    </row>
    <row r="13" spans="1:22" s="27" customFormat="1" x14ac:dyDescent="0.35">
      <c r="A13" s="194" t="s">
        <v>48</v>
      </c>
      <c r="B13" s="194"/>
      <c r="C13" s="194"/>
      <c r="D13" s="194"/>
      <c r="E13" s="194"/>
      <c r="F13" s="194"/>
      <c r="G13" s="194"/>
      <c r="H13" s="194"/>
      <c r="I13" s="140"/>
      <c r="J13" s="2" t="s">
        <v>3</v>
      </c>
      <c r="K13" s="69">
        <v>44609</v>
      </c>
      <c r="O13" s="38"/>
    </row>
    <row r="14" spans="1:22" s="27" customFormat="1" x14ac:dyDescent="0.35">
      <c r="A14" s="194" t="s">
        <v>49</v>
      </c>
      <c r="B14" s="194"/>
      <c r="C14" s="194"/>
      <c r="D14" s="194"/>
      <c r="E14" s="194"/>
      <c r="F14" s="194"/>
      <c r="G14" s="194"/>
      <c r="H14" s="194"/>
      <c r="I14" s="140"/>
      <c r="J14" s="2" t="s">
        <v>4</v>
      </c>
      <c r="K14" s="78" t="s">
        <v>60</v>
      </c>
      <c r="L14" s="38"/>
      <c r="O14" s="38"/>
      <c r="Q14" s="71"/>
      <c r="R14" s="6"/>
      <c r="S14" s="6"/>
      <c r="T14" s="6"/>
      <c r="U14" s="6"/>
      <c r="V14" s="6"/>
    </row>
    <row r="15" spans="1:22" s="27" customFormat="1" x14ac:dyDescent="0.35">
      <c r="A15" s="194" t="s">
        <v>50</v>
      </c>
      <c r="B15" s="194"/>
      <c r="C15" s="194"/>
      <c r="D15" s="194"/>
      <c r="E15" s="194"/>
      <c r="F15" s="194"/>
      <c r="G15" s="194"/>
      <c r="H15" s="194"/>
      <c r="I15" s="140"/>
      <c r="J15" s="6"/>
      <c r="K15" s="6"/>
      <c r="N15" s="38"/>
    </row>
    <row r="16" spans="1:22" s="27" customFormat="1" x14ac:dyDescent="0.35">
      <c r="A16" s="191" t="s">
        <v>66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O16" s="46"/>
      <c r="Q16" s="71"/>
      <c r="R16" s="6"/>
      <c r="S16" s="6"/>
      <c r="T16" s="6"/>
      <c r="U16" s="6"/>
      <c r="V16" s="6"/>
    </row>
    <row r="17" spans="1:33" s="100" customFormat="1" ht="48.75" customHeight="1" x14ac:dyDescent="0.35">
      <c r="A17" s="96" t="s">
        <v>38</v>
      </c>
      <c r="B17" s="21" t="s">
        <v>27</v>
      </c>
      <c r="C17" s="21" t="s">
        <v>45</v>
      </c>
      <c r="D17" s="21" t="s">
        <v>51</v>
      </c>
      <c r="E17" s="21" t="s">
        <v>20</v>
      </c>
      <c r="F17" s="21" t="s">
        <v>34</v>
      </c>
      <c r="G17" s="21" t="s">
        <v>52</v>
      </c>
      <c r="H17" s="21" t="s">
        <v>5</v>
      </c>
      <c r="I17" s="97" t="s">
        <v>6</v>
      </c>
      <c r="J17" s="13" t="s">
        <v>18</v>
      </c>
      <c r="K17" s="13" t="s">
        <v>19</v>
      </c>
      <c r="L17" s="98" t="s">
        <v>36</v>
      </c>
      <c r="M17" s="98" t="s">
        <v>35</v>
      </c>
      <c r="N17" s="98" t="s">
        <v>37</v>
      </c>
      <c r="O17" s="99" t="s">
        <v>43</v>
      </c>
      <c r="P17" s="99" t="s">
        <v>67</v>
      </c>
      <c r="Q17" s="74" t="s">
        <v>103</v>
      </c>
      <c r="R17" s="166" t="s">
        <v>104</v>
      </c>
      <c r="S17" s="166" t="s">
        <v>105</v>
      </c>
      <c r="T17" s="166" t="s">
        <v>111</v>
      </c>
      <c r="U17" s="166"/>
      <c r="V17" s="166"/>
    </row>
    <row r="18" spans="1:33" s="39" customFormat="1" x14ac:dyDescent="0.35">
      <c r="A18" s="93" t="s">
        <v>41</v>
      </c>
      <c r="B18" s="70" t="s">
        <v>40</v>
      </c>
      <c r="C18" s="45"/>
      <c r="D18" s="45"/>
      <c r="E18" s="33"/>
      <c r="F18" s="109"/>
      <c r="G18" s="45"/>
      <c r="H18" s="83"/>
      <c r="I18" s="35"/>
      <c r="J18" s="34"/>
      <c r="K18" s="37"/>
      <c r="L18" s="43"/>
      <c r="M18" s="44"/>
      <c r="N18" s="75"/>
      <c r="O18" s="44"/>
      <c r="P18" s="44"/>
      <c r="Q18" s="66"/>
      <c r="R18" s="72"/>
      <c r="S18" s="72"/>
      <c r="T18" s="72"/>
      <c r="U18" s="72"/>
      <c r="V18" s="72"/>
      <c r="W18" s="63"/>
      <c r="X18" s="64"/>
      <c r="Y18" s="63"/>
    </row>
    <row r="19" spans="1:33" s="30" customFormat="1" x14ac:dyDescent="0.35">
      <c r="A19" s="142"/>
      <c r="B19" s="167" t="s">
        <v>84</v>
      </c>
      <c r="C19" s="168"/>
      <c r="D19" s="107"/>
      <c r="E19" s="33"/>
      <c r="F19" s="110"/>
      <c r="G19" s="109"/>
      <c r="H19" s="167">
        <v>55</v>
      </c>
      <c r="I19" s="167" t="s">
        <v>82</v>
      </c>
      <c r="J19" s="104"/>
      <c r="K19" s="104"/>
      <c r="L19" s="57"/>
      <c r="M19" s="43"/>
      <c r="N19" s="128">
        <f>15000*1.18</f>
        <v>17700</v>
      </c>
      <c r="O19" s="43">
        <f t="shared" ref="O19:O41" si="0">N19*H19</f>
        <v>973500</v>
      </c>
      <c r="P19" s="43" t="s">
        <v>104</v>
      </c>
      <c r="Q19" s="57"/>
      <c r="R19" s="128">
        <f>15000*1.18</f>
        <v>17700</v>
      </c>
      <c r="S19" s="128">
        <f>15000</f>
        <v>15000</v>
      </c>
      <c r="T19" s="128"/>
      <c r="U19" s="128"/>
      <c r="V19" s="128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s="30" customFormat="1" x14ac:dyDescent="0.35">
      <c r="A20" s="142"/>
      <c r="B20" s="167" t="s">
        <v>113</v>
      </c>
      <c r="C20" s="167"/>
      <c r="D20" s="107"/>
      <c r="E20" s="33"/>
      <c r="F20" s="110"/>
      <c r="G20" s="109"/>
      <c r="H20" s="167">
        <v>1</v>
      </c>
      <c r="I20" s="167" t="s">
        <v>83</v>
      </c>
      <c r="J20" s="104"/>
      <c r="K20" s="104"/>
      <c r="L20" s="43"/>
      <c r="M20" s="43"/>
      <c r="N20" s="128">
        <v>120000</v>
      </c>
      <c r="O20" s="43">
        <f t="shared" si="0"/>
        <v>120000</v>
      </c>
      <c r="P20" s="43" t="s">
        <v>111</v>
      </c>
      <c r="Q20" s="57"/>
      <c r="R20" s="128"/>
      <c r="S20" s="128"/>
      <c r="T20" s="128">
        <v>120000</v>
      </c>
      <c r="U20" s="128"/>
      <c r="V20" s="128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 spans="1:33" s="30" customFormat="1" x14ac:dyDescent="0.35">
      <c r="A21" s="95"/>
      <c r="B21" s="167" t="s">
        <v>106</v>
      </c>
      <c r="C21" s="168"/>
      <c r="D21" s="33"/>
      <c r="E21" s="33"/>
      <c r="F21" s="110"/>
      <c r="G21" s="109"/>
      <c r="H21" s="167">
        <v>2</v>
      </c>
      <c r="I21" s="167" t="s">
        <v>83</v>
      </c>
      <c r="J21" s="104"/>
      <c r="K21" s="104"/>
      <c r="L21" s="57"/>
      <c r="M21" s="43"/>
      <c r="N21" s="128">
        <f>(30800*1.18)*2</f>
        <v>72688</v>
      </c>
      <c r="O21" s="43">
        <f t="shared" si="0"/>
        <v>145376</v>
      </c>
      <c r="P21" s="43" t="s">
        <v>104</v>
      </c>
      <c r="Q21" s="57"/>
      <c r="R21" s="128">
        <f>(30800*1.18)*2</f>
        <v>72688</v>
      </c>
      <c r="S21" s="128">
        <f>(3000*40)</f>
        <v>120000</v>
      </c>
      <c r="T21" s="128"/>
      <c r="U21" s="128"/>
      <c r="V21" s="128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1:33" s="30" customFormat="1" x14ac:dyDescent="0.35">
      <c r="A22" s="142"/>
      <c r="B22" s="167" t="s">
        <v>112</v>
      </c>
      <c r="C22" s="167"/>
      <c r="D22" s="33"/>
      <c r="E22" s="33"/>
      <c r="F22" s="110"/>
      <c r="G22" s="109"/>
      <c r="H22" s="167">
        <v>3</v>
      </c>
      <c r="I22" s="167" t="s">
        <v>83</v>
      </c>
      <c r="J22" s="104"/>
      <c r="K22" s="104"/>
      <c r="L22" s="43"/>
      <c r="M22" s="43"/>
      <c r="N22" s="134">
        <v>330000</v>
      </c>
      <c r="O22" s="43">
        <f t="shared" si="0"/>
        <v>990000</v>
      </c>
      <c r="P22" s="43" t="s">
        <v>111</v>
      </c>
      <c r="Q22" s="57"/>
      <c r="R22" s="134"/>
      <c r="S22" s="128"/>
      <c r="T22" s="128">
        <v>330000</v>
      </c>
      <c r="U22" s="128"/>
      <c r="V22" s="128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s="25" customFormat="1" x14ac:dyDescent="0.35">
      <c r="A23" s="142"/>
      <c r="B23" s="167" t="s">
        <v>85</v>
      </c>
      <c r="C23" s="168"/>
      <c r="D23" s="91"/>
      <c r="E23" s="132"/>
      <c r="F23" s="110"/>
      <c r="G23" s="133"/>
      <c r="H23" s="167">
        <v>15</v>
      </c>
      <c r="I23" s="167" t="s">
        <v>82</v>
      </c>
      <c r="J23" s="92"/>
      <c r="K23" s="104"/>
      <c r="L23" s="43"/>
      <c r="M23" s="43"/>
      <c r="N23" s="134">
        <v>7000</v>
      </c>
      <c r="O23" s="43">
        <f t="shared" si="0"/>
        <v>105000</v>
      </c>
      <c r="P23" s="43" t="s">
        <v>114</v>
      </c>
      <c r="Q23" s="135"/>
      <c r="R23" s="128"/>
      <c r="S23" s="134">
        <v>7000</v>
      </c>
      <c r="T23" s="134"/>
      <c r="U23" s="134"/>
      <c r="V23" s="134"/>
      <c r="W23" s="136"/>
      <c r="X23" s="137"/>
      <c r="Y23" s="138"/>
      <c r="Z23" s="139"/>
      <c r="AA23" s="42"/>
      <c r="AB23" s="42"/>
      <c r="AC23" s="42"/>
      <c r="AD23" s="42"/>
      <c r="AE23" s="42"/>
      <c r="AF23" s="42"/>
      <c r="AG23" s="42"/>
    </row>
    <row r="24" spans="1:33" s="30" customFormat="1" x14ac:dyDescent="0.35">
      <c r="A24" s="95"/>
      <c r="B24" s="167" t="s">
        <v>86</v>
      </c>
      <c r="C24" s="167"/>
      <c r="D24" s="33"/>
      <c r="E24" s="33"/>
      <c r="F24" s="110"/>
      <c r="G24" s="109"/>
      <c r="H24" s="167">
        <v>10</v>
      </c>
      <c r="I24" s="167" t="s">
        <v>82</v>
      </c>
      <c r="J24" s="104"/>
      <c r="K24" s="104"/>
      <c r="L24" s="43"/>
      <c r="M24" s="43"/>
      <c r="N24" s="128">
        <v>6500</v>
      </c>
      <c r="O24" s="43">
        <f t="shared" si="0"/>
        <v>65000</v>
      </c>
      <c r="P24" s="43" t="s">
        <v>114</v>
      </c>
      <c r="Q24" s="57"/>
      <c r="R24" s="128"/>
      <c r="S24" s="128">
        <v>6500</v>
      </c>
      <c r="T24" s="128"/>
      <c r="U24" s="128"/>
      <c r="V24" s="128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1:33" s="30" customFormat="1" x14ac:dyDescent="0.35">
      <c r="A25" s="142"/>
      <c r="B25" s="167" t="s">
        <v>87</v>
      </c>
      <c r="C25" s="168"/>
      <c r="D25" s="33"/>
      <c r="E25" s="33"/>
      <c r="F25" s="110"/>
      <c r="G25" s="109"/>
      <c r="H25" s="167">
        <v>5</v>
      </c>
      <c r="I25" s="167" t="s">
        <v>90</v>
      </c>
      <c r="J25" s="104"/>
      <c r="K25" s="104"/>
      <c r="L25" s="43"/>
      <c r="M25" s="43"/>
      <c r="N25" s="128">
        <v>4000</v>
      </c>
      <c r="O25" s="43">
        <f t="shared" si="0"/>
        <v>20000</v>
      </c>
      <c r="P25" s="43" t="s">
        <v>114</v>
      </c>
      <c r="Q25" s="57"/>
      <c r="R25" s="113"/>
      <c r="S25" s="128">
        <v>4000</v>
      </c>
      <c r="T25" s="128"/>
      <c r="U25" s="128"/>
      <c r="V25" s="128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 s="30" customFormat="1" x14ac:dyDescent="0.35">
      <c r="A26" s="95"/>
      <c r="B26" s="167" t="s">
        <v>88</v>
      </c>
      <c r="C26" s="169"/>
      <c r="D26" s="106"/>
      <c r="E26" s="107"/>
      <c r="F26" s="110"/>
      <c r="G26" s="107"/>
      <c r="H26" s="167">
        <v>2</v>
      </c>
      <c r="I26" s="167" t="s">
        <v>82</v>
      </c>
      <c r="J26" s="104"/>
      <c r="K26" s="104"/>
      <c r="L26" s="43"/>
      <c r="M26" s="43"/>
      <c r="N26" s="113">
        <v>5000</v>
      </c>
      <c r="O26" s="43">
        <f t="shared" si="0"/>
        <v>10000</v>
      </c>
      <c r="P26" s="43" t="s">
        <v>114</v>
      </c>
      <c r="Q26" s="141"/>
      <c r="R26" s="130"/>
      <c r="S26" s="113">
        <v>5000</v>
      </c>
      <c r="T26" s="113"/>
      <c r="U26" s="113"/>
      <c r="V26" s="113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</row>
    <row r="27" spans="1:33" s="30" customFormat="1" x14ac:dyDescent="0.35">
      <c r="A27" s="142"/>
      <c r="B27" s="170" t="s">
        <v>89</v>
      </c>
      <c r="C27" s="169"/>
      <c r="D27" s="65"/>
      <c r="E27" s="33"/>
      <c r="F27" s="110"/>
      <c r="G27" s="45"/>
      <c r="H27" s="167">
        <v>5</v>
      </c>
      <c r="I27" s="167" t="s">
        <v>82</v>
      </c>
      <c r="J27" s="104"/>
      <c r="K27" s="104"/>
      <c r="L27" s="57"/>
      <c r="M27" s="43"/>
      <c r="N27" s="130">
        <v>5000</v>
      </c>
      <c r="O27" s="43">
        <f t="shared" si="0"/>
        <v>25000</v>
      </c>
      <c r="P27" s="43" t="s">
        <v>114</v>
      </c>
      <c r="Q27" s="57"/>
      <c r="R27" s="130"/>
      <c r="S27" s="130">
        <v>5000</v>
      </c>
      <c r="T27" s="130"/>
      <c r="U27" s="130"/>
      <c r="V27" s="130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1:33" s="30" customFormat="1" x14ac:dyDescent="0.35">
      <c r="A28" s="142"/>
      <c r="B28" s="163" t="s">
        <v>91</v>
      </c>
      <c r="C28" s="65"/>
      <c r="D28" s="82"/>
      <c r="E28" s="85"/>
      <c r="F28" s="110"/>
      <c r="G28" s="45"/>
      <c r="H28" s="171">
        <v>10</v>
      </c>
      <c r="I28" s="83" t="s">
        <v>83</v>
      </c>
      <c r="J28" s="104"/>
      <c r="K28" s="104"/>
      <c r="L28" s="43"/>
      <c r="M28" s="43"/>
      <c r="N28" s="130">
        <f>125000*1.18</f>
        <v>147500</v>
      </c>
      <c r="O28" s="43">
        <f t="shared" si="0"/>
        <v>1475000</v>
      </c>
      <c r="P28" s="43" t="s">
        <v>104</v>
      </c>
      <c r="Q28" s="75"/>
      <c r="R28" s="130">
        <f>125000*1.18</f>
        <v>147500</v>
      </c>
      <c r="S28" s="130">
        <v>135000</v>
      </c>
      <c r="T28" s="130"/>
      <c r="U28" s="130"/>
      <c r="V28" s="130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3" s="30" customFormat="1" x14ac:dyDescent="0.35">
      <c r="A29" s="142"/>
      <c r="B29" s="165" t="s">
        <v>92</v>
      </c>
      <c r="C29" s="65"/>
      <c r="D29" s="82"/>
      <c r="E29" s="85"/>
      <c r="F29" s="110"/>
      <c r="G29" s="45"/>
      <c r="H29" s="171">
        <v>2</v>
      </c>
      <c r="I29" s="83" t="s">
        <v>83</v>
      </c>
      <c r="J29" s="104"/>
      <c r="K29" s="104"/>
      <c r="L29" s="43"/>
      <c r="M29" s="43"/>
      <c r="N29" s="130">
        <v>135000</v>
      </c>
      <c r="O29" s="43">
        <f t="shared" si="0"/>
        <v>270000</v>
      </c>
      <c r="P29" s="43" t="s">
        <v>114</v>
      </c>
      <c r="Q29" s="75"/>
      <c r="R29" s="130"/>
      <c r="S29" s="130">
        <v>135000</v>
      </c>
      <c r="T29" s="130"/>
      <c r="U29" s="130"/>
      <c r="V29" s="130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 spans="1:33" s="30" customFormat="1" x14ac:dyDescent="0.35">
      <c r="A30" s="95"/>
      <c r="B30" s="165" t="s">
        <v>93</v>
      </c>
      <c r="C30" s="65"/>
      <c r="D30" s="82"/>
      <c r="E30" s="85"/>
      <c r="F30" s="110"/>
      <c r="G30" s="45"/>
      <c r="H30" s="171">
        <v>1</v>
      </c>
      <c r="I30" s="83" t="s">
        <v>83</v>
      </c>
      <c r="J30" s="104"/>
      <c r="K30" s="104"/>
      <c r="L30" s="43"/>
      <c r="M30" s="43"/>
      <c r="N30" s="130">
        <v>135000</v>
      </c>
      <c r="O30" s="43">
        <f t="shared" si="0"/>
        <v>135000</v>
      </c>
      <c r="P30" s="43" t="s">
        <v>114</v>
      </c>
      <c r="Q30" s="75"/>
      <c r="R30" s="130"/>
      <c r="S30" s="130">
        <v>135000</v>
      </c>
      <c r="T30" s="130"/>
      <c r="U30" s="130"/>
      <c r="V30" s="130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 spans="1:33" s="30" customFormat="1" x14ac:dyDescent="0.35">
      <c r="A31" s="142"/>
      <c r="B31" s="165" t="s">
        <v>94</v>
      </c>
      <c r="C31" s="65"/>
      <c r="D31" s="82"/>
      <c r="E31" s="85"/>
      <c r="F31" s="110"/>
      <c r="G31" s="45"/>
      <c r="H31" s="171">
        <v>3</v>
      </c>
      <c r="I31" s="83" t="s">
        <v>83</v>
      </c>
      <c r="J31" s="104"/>
      <c r="K31" s="104"/>
      <c r="L31" s="43"/>
      <c r="M31" s="43"/>
      <c r="N31" s="130">
        <f>31500*1.18</f>
        <v>37170</v>
      </c>
      <c r="O31" s="43">
        <f t="shared" si="0"/>
        <v>111510</v>
      </c>
      <c r="P31" s="43" t="s">
        <v>104</v>
      </c>
      <c r="Q31" s="75"/>
      <c r="R31" s="130">
        <f>31500*1.18</f>
        <v>37170</v>
      </c>
      <c r="S31" s="130">
        <v>35000</v>
      </c>
      <c r="T31" s="130"/>
      <c r="U31" s="130"/>
      <c r="V31" s="130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 spans="1:33" s="30" customFormat="1" x14ac:dyDescent="0.35">
      <c r="A32" s="142"/>
      <c r="B32" s="143" t="s">
        <v>95</v>
      </c>
      <c r="C32" s="65"/>
      <c r="D32" s="82"/>
      <c r="E32" s="85"/>
      <c r="F32" s="110"/>
      <c r="G32" s="45"/>
      <c r="H32" s="172">
        <v>2</v>
      </c>
      <c r="I32" s="83" t="s">
        <v>82</v>
      </c>
      <c r="J32" s="104"/>
      <c r="K32" s="104"/>
      <c r="L32" s="43"/>
      <c r="M32" s="43"/>
      <c r="N32" s="130">
        <f>18644.07*1.18</f>
        <v>22000.0026</v>
      </c>
      <c r="O32" s="43">
        <f t="shared" si="0"/>
        <v>44000.0052</v>
      </c>
      <c r="P32" s="43" t="s">
        <v>103</v>
      </c>
      <c r="Q32" s="75">
        <f>18644.07*1.18</f>
        <v>22000.0026</v>
      </c>
      <c r="R32" s="130">
        <f>33000*1.18</f>
        <v>38940</v>
      </c>
      <c r="S32" s="130">
        <v>40000</v>
      </c>
      <c r="T32" s="130"/>
      <c r="U32" s="130"/>
      <c r="V32" s="130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 spans="1:33" s="30" customFormat="1" x14ac:dyDescent="0.35">
      <c r="A33" s="142"/>
      <c r="B33" s="143" t="s">
        <v>96</v>
      </c>
      <c r="C33" s="65"/>
      <c r="D33" s="82"/>
      <c r="E33" s="85"/>
      <c r="F33" s="110"/>
      <c r="G33" s="45"/>
      <c r="H33" s="172">
        <v>10</v>
      </c>
      <c r="I33" s="83" t="s">
        <v>101</v>
      </c>
      <c r="J33" s="104"/>
      <c r="K33" s="104"/>
      <c r="L33" s="43"/>
      <c r="M33" s="43"/>
      <c r="N33" s="130">
        <v>2000</v>
      </c>
      <c r="O33" s="43">
        <f t="shared" si="0"/>
        <v>20000</v>
      </c>
      <c r="P33" s="43" t="s">
        <v>114</v>
      </c>
      <c r="Q33" s="75"/>
      <c r="R33" s="130"/>
      <c r="S33" s="130">
        <v>2000</v>
      </c>
      <c r="T33" s="130"/>
      <c r="U33" s="130"/>
      <c r="V33" s="130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1:33" s="30" customFormat="1" x14ac:dyDescent="0.35">
      <c r="A34" s="142"/>
      <c r="B34" s="143" t="s">
        <v>97</v>
      </c>
      <c r="C34" s="65"/>
      <c r="D34" s="82"/>
      <c r="E34" s="85"/>
      <c r="F34" s="110"/>
      <c r="G34" s="45"/>
      <c r="H34" s="172">
        <v>12</v>
      </c>
      <c r="I34" s="83" t="s">
        <v>82</v>
      </c>
      <c r="J34" s="104"/>
      <c r="K34" s="104"/>
      <c r="L34" s="43"/>
      <c r="M34" s="43"/>
      <c r="N34" s="130">
        <v>3500</v>
      </c>
      <c r="O34" s="43">
        <f t="shared" si="0"/>
        <v>42000</v>
      </c>
      <c r="P34" s="43" t="s">
        <v>114</v>
      </c>
      <c r="Q34" s="75"/>
      <c r="R34" s="130">
        <f>3500*1.18</f>
        <v>4130</v>
      </c>
      <c r="S34" s="130">
        <v>3500</v>
      </c>
      <c r="T34" s="130"/>
      <c r="U34" s="130"/>
      <c r="V34" s="130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1:33" s="30" customFormat="1" x14ac:dyDescent="0.35">
      <c r="A35" s="142"/>
      <c r="B35" s="143" t="s">
        <v>98</v>
      </c>
      <c r="C35" s="65"/>
      <c r="D35" s="82"/>
      <c r="E35" s="85"/>
      <c r="F35" s="110"/>
      <c r="G35" s="45"/>
      <c r="H35" s="172">
        <v>11</v>
      </c>
      <c r="I35" s="83" t="s">
        <v>82</v>
      </c>
      <c r="J35" s="104"/>
      <c r="K35" s="104"/>
      <c r="L35" s="43"/>
      <c r="M35" s="43"/>
      <c r="N35" s="130">
        <v>3000</v>
      </c>
      <c r="O35" s="43">
        <f t="shared" si="0"/>
        <v>33000</v>
      </c>
      <c r="P35" s="43" t="s">
        <v>114</v>
      </c>
      <c r="Q35" s="75"/>
      <c r="R35" s="130">
        <f>4500*1.18</f>
        <v>5310</v>
      </c>
      <c r="S35" s="130">
        <v>3000</v>
      </c>
      <c r="T35" s="130"/>
      <c r="U35" s="130"/>
      <c r="V35" s="130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 spans="1:33" s="30" customFormat="1" x14ac:dyDescent="0.35">
      <c r="A36" s="95"/>
      <c r="B36" s="143" t="s">
        <v>99</v>
      </c>
      <c r="C36" s="65"/>
      <c r="D36" s="82"/>
      <c r="E36" s="85"/>
      <c r="F36" s="110"/>
      <c r="G36" s="45"/>
      <c r="H36" s="172">
        <v>11</v>
      </c>
      <c r="I36" s="83" t="s">
        <v>82</v>
      </c>
      <c r="J36" s="104"/>
      <c r="K36" s="104"/>
      <c r="L36" s="43"/>
      <c r="M36" s="43"/>
      <c r="N36" s="130">
        <f>2950*1.18</f>
        <v>3481</v>
      </c>
      <c r="O36" s="43">
        <f t="shared" si="0"/>
        <v>38291</v>
      </c>
      <c r="P36" s="43" t="s">
        <v>104</v>
      </c>
      <c r="Q36" s="75"/>
      <c r="R36" s="130">
        <f>2950*1.18</f>
        <v>3481</v>
      </c>
      <c r="S36" s="130">
        <v>3500</v>
      </c>
      <c r="T36" s="130"/>
      <c r="U36" s="130"/>
      <c r="V36" s="130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 s="30" customFormat="1" x14ac:dyDescent="0.35">
      <c r="A37" s="95"/>
      <c r="B37" s="143" t="s">
        <v>108</v>
      </c>
      <c r="C37" s="65"/>
      <c r="D37" s="82"/>
      <c r="E37" s="85"/>
      <c r="F37" s="110"/>
      <c r="G37" s="45"/>
      <c r="H37" s="172">
        <v>5</v>
      </c>
      <c r="I37" s="83" t="s">
        <v>83</v>
      </c>
      <c r="K37" s="104"/>
      <c r="L37" s="43"/>
      <c r="M37" s="43"/>
      <c r="N37" s="130">
        <v>25000</v>
      </c>
      <c r="O37" s="43">
        <f t="shared" si="0"/>
        <v>125000</v>
      </c>
      <c r="P37" s="43" t="s">
        <v>114</v>
      </c>
      <c r="Q37" s="75"/>
      <c r="R37" s="104">
        <f>92000*1.18</f>
        <v>108560</v>
      </c>
      <c r="S37" s="130">
        <v>25000</v>
      </c>
      <c r="T37" s="130"/>
      <c r="U37" s="130"/>
      <c r="V37" s="130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 s="30" customFormat="1" x14ac:dyDescent="0.35">
      <c r="A38" s="142"/>
      <c r="B38" s="143" t="s">
        <v>107</v>
      </c>
      <c r="C38" s="65"/>
      <c r="D38" s="82"/>
      <c r="E38" s="85"/>
      <c r="F38" s="110"/>
      <c r="G38" s="45"/>
      <c r="H38" s="172">
        <v>2</v>
      </c>
      <c r="I38" s="83" t="s">
        <v>83</v>
      </c>
      <c r="K38" s="104"/>
      <c r="L38" s="43"/>
      <c r="M38" s="44"/>
      <c r="N38" s="130">
        <v>25000</v>
      </c>
      <c r="O38" s="43">
        <f t="shared" si="0"/>
        <v>50000</v>
      </c>
      <c r="P38" s="43" t="s">
        <v>114</v>
      </c>
      <c r="Q38" s="75"/>
      <c r="R38" s="104"/>
      <c r="S38" s="130">
        <v>25000</v>
      </c>
      <c r="T38" s="130"/>
      <c r="U38" s="130"/>
      <c r="V38" s="130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33" s="30" customFormat="1" x14ac:dyDescent="0.35">
      <c r="A39" s="142"/>
      <c r="B39" s="143" t="s">
        <v>109</v>
      </c>
      <c r="C39" s="65"/>
      <c r="D39" s="82"/>
      <c r="E39" s="85"/>
      <c r="F39" s="110"/>
      <c r="G39" s="45"/>
      <c r="H39" s="172">
        <v>2</v>
      </c>
      <c r="I39" s="83" t="s">
        <v>83</v>
      </c>
      <c r="K39" s="104"/>
      <c r="L39" s="43"/>
      <c r="M39" s="44"/>
      <c r="N39" s="130">
        <v>25000</v>
      </c>
      <c r="O39" s="43">
        <f t="shared" si="0"/>
        <v>50000</v>
      </c>
      <c r="P39" s="43" t="s">
        <v>114</v>
      </c>
      <c r="Q39" s="75"/>
      <c r="R39" s="104">
        <f t="shared" ref="R39:R40" si="1">92000*1.18</f>
        <v>108560</v>
      </c>
      <c r="S39" s="130">
        <v>25000</v>
      </c>
      <c r="T39" s="130"/>
      <c r="U39" s="130"/>
      <c r="V39" s="130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 s="30" customFormat="1" x14ac:dyDescent="0.35">
      <c r="A40" s="142"/>
      <c r="B40" s="143" t="s">
        <v>110</v>
      </c>
      <c r="C40" s="65"/>
      <c r="D40" s="82"/>
      <c r="E40" s="85"/>
      <c r="F40" s="110"/>
      <c r="G40" s="45"/>
      <c r="H40" s="172">
        <v>1</v>
      </c>
      <c r="I40" s="83" t="s">
        <v>83</v>
      </c>
      <c r="K40" s="104"/>
      <c r="L40" s="43"/>
      <c r="M40" s="44"/>
      <c r="N40" s="130">
        <v>25000</v>
      </c>
      <c r="O40" s="43">
        <f t="shared" si="0"/>
        <v>25000</v>
      </c>
      <c r="P40" s="43" t="s">
        <v>114</v>
      </c>
      <c r="Q40" s="75"/>
      <c r="R40" s="104">
        <f t="shared" si="1"/>
        <v>108560</v>
      </c>
      <c r="S40" s="130">
        <v>25000</v>
      </c>
      <c r="T40" s="130"/>
      <c r="U40" s="130"/>
      <c r="V40" s="130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s="30" customFormat="1" x14ac:dyDescent="0.35">
      <c r="A41" s="142"/>
      <c r="B41" s="143" t="s">
        <v>100</v>
      </c>
      <c r="C41" s="65"/>
      <c r="D41" s="82"/>
      <c r="E41" s="85"/>
      <c r="F41" s="110"/>
      <c r="G41" s="45"/>
      <c r="H41" s="172">
        <v>5</v>
      </c>
      <c r="I41" s="83" t="s">
        <v>102</v>
      </c>
      <c r="J41" s="104"/>
      <c r="K41" s="104"/>
      <c r="L41" s="43"/>
      <c r="M41" s="44"/>
      <c r="N41" s="128">
        <v>25842</v>
      </c>
      <c r="O41" s="43">
        <f t="shared" si="0"/>
        <v>129210</v>
      </c>
      <c r="P41" s="44" t="s">
        <v>104</v>
      </c>
      <c r="Q41" s="75"/>
      <c r="R41" s="128">
        <f>21900*1.18</f>
        <v>25842</v>
      </c>
      <c r="S41" s="130">
        <v>30000</v>
      </c>
      <c r="T41" s="130"/>
      <c r="U41" s="130"/>
      <c r="V41" s="130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:33" s="30" customFormat="1" x14ac:dyDescent="0.35">
      <c r="A42" s="142"/>
      <c r="B42" s="143"/>
      <c r="C42" s="65"/>
      <c r="D42" s="82"/>
      <c r="E42" s="85"/>
      <c r="F42" s="110"/>
      <c r="G42" s="45"/>
      <c r="H42" s="83"/>
      <c r="I42" s="83"/>
      <c r="J42" s="104"/>
      <c r="K42" s="104"/>
      <c r="L42" s="43"/>
      <c r="M42" s="44"/>
      <c r="N42" s="75"/>
      <c r="O42" s="44"/>
      <c r="P42" s="44"/>
      <c r="Q42" s="75"/>
      <c r="R42" s="128"/>
      <c r="S42" s="130"/>
      <c r="T42" s="130"/>
      <c r="U42" s="130"/>
      <c r="V42" s="130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 s="30" customFormat="1" x14ac:dyDescent="0.35">
      <c r="A43" s="94"/>
      <c r="B43" s="33"/>
      <c r="C43" s="33"/>
      <c r="D43" s="33"/>
      <c r="E43" s="33"/>
      <c r="F43" s="109"/>
      <c r="G43" s="109"/>
      <c r="H43" s="83"/>
      <c r="I43" s="35"/>
      <c r="J43" s="67"/>
      <c r="K43" s="37"/>
      <c r="L43" s="43"/>
      <c r="M43" s="44"/>
      <c r="N43" s="75"/>
      <c r="O43" s="44"/>
      <c r="P43" s="44"/>
      <c r="Q43" s="48"/>
      <c r="R43" s="72"/>
      <c r="S43" s="128"/>
      <c r="T43" s="128"/>
      <c r="U43" s="128"/>
      <c r="V43" s="128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:33" s="30" customFormat="1" x14ac:dyDescent="0.35">
      <c r="A44" s="94"/>
      <c r="B44" s="33"/>
      <c r="C44" s="33"/>
      <c r="D44" s="33"/>
      <c r="E44" s="33"/>
      <c r="F44" s="109"/>
      <c r="G44" s="109"/>
      <c r="H44" s="83"/>
      <c r="I44" s="35"/>
      <c r="J44" s="67"/>
      <c r="K44" s="37"/>
      <c r="L44" s="43"/>
      <c r="M44" s="44"/>
      <c r="N44" s="75"/>
      <c r="O44" s="44"/>
      <c r="P44" s="44"/>
      <c r="Q44" s="48"/>
      <c r="R44" s="72"/>
      <c r="S44" s="128"/>
      <c r="T44" s="128"/>
      <c r="U44" s="128"/>
      <c r="V44" s="128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1:33" s="30" customFormat="1" x14ac:dyDescent="0.35">
      <c r="A45" s="101" t="s">
        <v>44</v>
      </c>
      <c r="B45" s="102" t="s">
        <v>53</v>
      </c>
      <c r="C45" s="103"/>
      <c r="D45" s="103"/>
      <c r="E45" s="84"/>
      <c r="F45" s="110"/>
      <c r="G45" s="110"/>
      <c r="H45" s="83"/>
      <c r="I45" s="83"/>
      <c r="J45" s="104"/>
      <c r="K45" s="104"/>
      <c r="L45" s="43"/>
      <c r="M45" s="44"/>
      <c r="N45" s="75"/>
      <c r="O45" s="44"/>
      <c r="P45" s="44"/>
      <c r="Q45" s="48"/>
      <c r="R45" s="111"/>
      <c r="S45" s="72"/>
      <c r="T45" s="72"/>
      <c r="U45" s="72"/>
      <c r="V45" s="72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 spans="1:33" s="30" customFormat="1" x14ac:dyDescent="0.35">
      <c r="A46" s="105"/>
      <c r="B46" s="106" t="s">
        <v>56</v>
      </c>
      <c r="C46" s="107"/>
      <c r="D46" s="106"/>
      <c r="E46" s="107"/>
      <c r="F46" s="107"/>
      <c r="G46" s="107"/>
      <c r="H46" s="83"/>
      <c r="I46" s="83"/>
      <c r="J46" s="104"/>
      <c r="K46" s="34"/>
      <c r="L46" s="43"/>
      <c r="M46" s="44"/>
      <c r="N46" s="75"/>
      <c r="O46" s="44"/>
      <c r="P46" s="146"/>
      <c r="Q46" s="144"/>
      <c r="R46" s="111"/>
      <c r="S46" s="167"/>
      <c r="T46" s="164"/>
      <c r="U46" s="167"/>
      <c r="V46" s="167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 spans="1:33" s="30" customFormat="1" x14ac:dyDescent="0.35">
      <c r="A47" s="105">
        <v>1</v>
      </c>
      <c r="B47" s="106" t="s">
        <v>63</v>
      </c>
      <c r="C47" s="107"/>
      <c r="D47" s="106"/>
      <c r="E47" s="107"/>
      <c r="F47" s="107"/>
      <c r="G47" s="107"/>
      <c r="H47" s="185">
        <v>1</v>
      </c>
      <c r="I47" s="185" t="s">
        <v>46</v>
      </c>
      <c r="J47" s="182">
        <f>N47+N48+N49+N50</f>
        <v>0</v>
      </c>
      <c r="K47" s="182">
        <f>H47*J47</f>
        <v>0</v>
      </c>
      <c r="L47" s="43"/>
      <c r="M47" s="43"/>
      <c r="N47" s="75"/>
      <c r="O47" s="44"/>
      <c r="P47" s="44"/>
      <c r="Q47" s="145"/>
      <c r="R47" s="111"/>
      <c r="S47" s="167"/>
      <c r="T47" s="164"/>
      <c r="U47" s="167"/>
      <c r="V47" s="167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 spans="1:33" s="30" customFormat="1" x14ac:dyDescent="0.35">
      <c r="A48" s="105">
        <v>2</v>
      </c>
      <c r="B48" s="106" t="s">
        <v>61</v>
      </c>
      <c r="C48" s="107"/>
      <c r="D48" s="106"/>
      <c r="E48" s="107"/>
      <c r="F48" s="107"/>
      <c r="G48" s="107"/>
      <c r="H48" s="186"/>
      <c r="I48" s="186"/>
      <c r="J48" s="183"/>
      <c r="K48" s="183"/>
      <c r="L48" s="43"/>
      <c r="M48" s="43"/>
      <c r="N48" s="75"/>
      <c r="O48" s="44"/>
      <c r="P48" s="44"/>
      <c r="Q48" s="145"/>
      <c r="R48" s="111"/>
      <c r="S48" s="167"/>
      <c r="T48" s="164"/>
      <c r="U48" s="167"/>
      <c r="V48" s="167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 spans="1:33" s="30" customFormat="1" x14ac:dyDescent="0.35">
      <c r="A49" s="105">
        <v>3</v>
      </c>
      <c r="B49" s="106" t="s">
        <v>64</v>
      </c>
      <c r="C49" s="107"/>
      <c r="D49" s="106"/>
      <c r="E49" s="107"/>
      <c r="F49" s="107"/>
      <c r="G49" s="107"/>
      <c r="H49" s="186"/>
      <c r="I49" s="186"/>
      <c r="J49" s="183"/>
      <c r="K49" s="183"/>
      <c r="L49" s="43"/>
      <c r="M49" s="43"/>
      <c r="N49" s="75"/>
      <c r="O49" s="44"/>
      <c r="P49" s="44"/>
      <c r="Q49" s="145"/>
      <c r="R49" s="111"/>
      <c r="S49" s="167"/>
      <c r="T49" s="164"/>
      <c r="U49" s="167"/>
      <c r="V49" s="167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 spans="1:33" s="30" customFormat="1" x14ac:dyDescent="0.35">
      <c r="A50" s="105">
        <v>4</v>
      </c>
      <c r="B50" s="106" t="s">
        <v>62</v>
      </c>
      <c r="C50" s="107"/>
      <c r="D50" s="106"/>
      <c r="E50" s="107"/>
      <c r="F50" s="107"/>
      <c r="G50" s="107"/>
      <c r="H50" s="187"/>
      <c r="I50" s="187"/>
      <c r="J50" s="184"/>
      <c r="K50" s="184"/>
      <c r="L50" s="43"/>
      <c r="M50" s="43"/>
      <c r="N50" s="75"/>
      <c r="O50" s="44"/>
      <c r="P50" s="44"/>
      <c r="Q50" s="145"/>
      <c r="R50" s="111"/>
      <c r="S50" s="167"/>
      <c r="T50" s="164"/>
      <c r="U50" s="167"/>
      <c r="V50" s="167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1:33" s="30" customFormat="1" x14ac:dyDescent="0.35">
      <c r="A51" s="105"/>
      <c r="B51" s="106"/>
      <c r="C51" s="107"/>
      <c r="D51" s="106"/>
      <c r="E51" s="107"/>
      <c r="F51" s="107"/>
      <c r="G51" s="107"/>
      <c r="H51" s="83"/>
      <c r="I51" s="83"/>
      <c r="J51" s="104"/>
      <c r="K51" s="34"/>
      <c r="L51" s="43"/>
      <c r="M51" s="43"/>
      <c r="N51" s="75"/>
      <c r="O51" s="44"/>
      <c r="P51" s="44"/>
      <c r="Q51" s="112"/>
      <c r="R51" s="72"/>
      <c r="S51" s="167"/>
      <c r="T51" s="164"/>
      <c r="U51" s="167"/>
      <c r="V51" s="167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 spans="1:33" s="30" customFormat="1" x14ac:dyDescent="0.35">
      <c r="A52" s="94" t="s">
        <v>54</v>
      </c>
      <c r="B52" s="49" t="s">
        <v>39</v>
      </c>
      <c r="C52" s="45"/>
      <c r="D52" s="53"/>
      <c r="E52" s="85"/>
      <c r="F52" s="109"/>
      <c r="G52" s="109"/>
      <c r="H52" s="83"/>
      <c r="I52" s="35"/>
      <c r="J52" s="54"/>
      <c r="K52" s="37"/>
      <c r="L52" s="43"/>
      <c r="M52" s="44"/>
      <c r="N52" s="75"/>
      <c r="O52" s="44"/>
      <c r="P52" s="44"/>
      <c r="Q52" s="48"/>
      <c r="R52" s="129"/>
      <c r="S52" s="72"/>
      <c r="T52" s="72"/>
      <c r="U52" s="72"/>
      <c r="V52" s="72"/>
      <c r="W52" s="39"/>
      <c r="X52" s="62"/>
      <c r="Y52" s="39"/>
      <c r="Z52" s="39"/>
      <c r="AA52" s="39"/>
      <c r="AB52" s="39"/>
      <c r="AC52" s="39"/>
      <c r="AD52" s="39"/>
      <c r="AE52" s="39"/>
      <c r="AF52" s="39"/>
      <c r="AG52" s="39"/>
    </row>
    <row r="53" spans="1:33" s="30" customFormat="1" x14ac:dyDescent="0.35">
      <c r="A53" s="108">
        <v>1</v>
      </c>
      <c r="B53" s="47" t="s">
        <v>57</v>
      </c>
      <c r="C53" s="33"/>
      <c r="D53" s="91"/>
      <c r="E53" s="33"/>
      <c r="F53" s="109"/>
      <c r="G53" s="109"/>
      <c r="H53" s="83">
        <v>1</v>
      </c>
      <c r="I53" s="35" t="s">
        <v>46</v>
      </c>
      <c r="J53" s="92">
        <f>N53</f>
        <v>0</v>
      </c>
      <c r="K53" s="92">
        <f t="shared" ref="K53" si="2">H53*J53</f>
        <v>0</v>
      </c>
      <c r="L53" s="43"/>
      <c r="M53" s="43"/>
      <c r="N53" s="57"/>
      <c r="O53" s="43"/>
      <c r="P53" s="43"/>
      <c r="Q53" s="48"/>
      <c r="R53" s="6"/>
      <c r="S53" s="129"/>
      <c r="T53" s="129"/>
      <c r="U53" s="129"/>
      <c r="V53" s="12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</row>
    <row r="54" spans="1:33" x14ac:dyDescent="0.35">
      <c r="A54" s="116"/>
      <c r="B54" s="9" t="s">
        <v>7</v>
      </c>
      <c r="C54" s="9"/>
      <c r="D54" s="9"/>
      <c r="E54" s="86"/>
      <c r="F54" s="26"/>
      <c r="G54" s="176">
        <f>SUM(K19:K53)</f>
        <v>0</v>
      </c>
      <c r="H54" s="177"/>
      <c r="I54" s="177"/>
      <c r="J54" s="177"/>
      <c r="K54" s="178"/>
      <c r="L54" s="40"/>
      <c r="O54" s="58">
        <f>SUM(O19:O53)</f>
        <v>5001887.0051999995</v>
      </c>
      <c r="P54" s="58"/>
      <c r="Q54" s="6"/>
    </row>
    <row r="55" spans="1:33" hidden="1" x14ac:dyDescent="0.35">
      <c r="A55" s="116"/>
      <c r="B55" s="9" t="s">
        <v>55</v>
      </c>
      <c r="C55" s="9"/>
      <c r="D55" s="9"/>
      <c r="E55" s="86"/>
      <c r="F55" s="26"/>
      <c r="G55" s="179">
        <v>0</v>
      </c>
      <c r="H55" s="180"/>
      <c r="I55" s="180"/>
      <c r="J55" s="180"/>
      <c r="K55" s="181"/>
      <c r="L55" s="40"/>
      <c r="M55" s="40"/>
      <c r="N55" s="61"/>
      <c r="O55" s="40"/>
      <c r="P55" s="40"/>
      <c r="Q55" s="60"/>
    </row>
    <row r="56" spans="1:33" hidden="1" x14ac:dyDescent="0.35">
      <c r="A56" s="117"/>
      <c r="B56" s="8" t="s">
        <v>25</v>
      </c>
      <c r="C56" s="8"/>
      <c r="D56" s="8"/>
      <c r="E56" s="22"/>
      <c r="F56" s="22"/>
      <c r="G56" s="177">
        <f>+G54+G55</f>
        <v>0</v>
      </c>
      <c r="H56" s="177"/>
      <c r="I56" s="177"/>
      <c r="J56" s="177"/>
      <c r="K56" s="178"/>
      <c r="L56" s="40"/>
      <c r="M56" s="40"/>
      <c r="N56" s="61"/>
      <c r="O56" s="40"/>
      <c r="P56" s="40"/>
      <c r="Q56" s="60"/>
    </row>
    <row r="57" spans="1:33" x14ac:dyDescent="0.35">
      <c r="A57" s="118"/>
      <c r="B57" s="9" t="s">
        <v>8</v>
      </c>
      <c r="C57" s="9"/>
      <c r="D57" s="9"/>
      <c r="E57" s="86"/>
      <c r="F57" s="26"/>
      <c r="G57" s="176">
        <f>G54*0.18</f>
        <v>0</v>
      </c>
      <c r="H57" s="177"/>
      <c r="I57" s="177"/>
      <c r="J57" s="177"/>
      <c r="K57" s="178"/>
      <c r="L57" s="40"/>
      <c r="M57" s="56"/>
      <c r="N57" s="76"/>
      <c r="O57" s="59"/>
      <c r="P57" s="147"/>
    </row>
    <row r="58" spans="1:33" x14ac:dyDescent="0.35">
      <c r="A58" s="119"/>
      <c r="B58" s="10" t="s">
        <v>17</v>
      </c>
      <c r="C58" s="10"/>
      <c r="D58" s="10"/>
      <c r="E58" s="23"/>
      <c r="F58" s="23"/>
      <c r="G58" s="176">
        <f>G56+G57</f>
        <v>0</v>
      </c>
      <c r="H58" s="177"/>
      <c r="I58" s="177"/>
      <c r="J58" s="177"/>
      <c r="K58" s="178"/>
      <c r="L58" s="40"/>
      <c r="M58" s="40"/>
      <c r="N58" s="76"/>
      <c r="O58" s="50"/>
      <c r="P58" s="147"/>
    </row>
    <row r="59" spans="1:33" x14ac:dyDescent="0.35">
      <c r="A59" s="120"/>
      <c r="B59" s="17"/>
      <c r="C59" s="17"/>
      <c r="D59" s="17"/>
      <c r="E59" s="24"/>
      <c r="F59" s="24"/>
      <c r="G59" s="24"/>
      <c r="H59" s="16"/>
      <c r="I59" s="16"/>
      <c r="J59" s="18"/>
      <c r="K59" s="18"/>
      <c r="L59" s="55"/>
      <c r="M59" s="40"/>
      <c r="N59" s="51"/>
      <c r="O59" s="51"/>
      <c r="P59" s="147"/>
    </row>
    <row r="60" spans="1:33" x14ac:dyDescent="0.35">
      <c r="A60" s="121"/>
      <c r="B60" s="12" t="s">
        <v>9</v>
      </c>
      <c r="C60" s="11"/>
      <c r="D60" s="11"/>
      <c r="E60" s="87"/>
      <c r="F60" s="11"/>
      <c r="G60" s="11"/>
      <c r="H60" s="126"/>
      <c r="I60" s="126"/>
      <c r="J60" s="15"/>
      <c r="K60" s="11"/>
      <c r="L60" s="38"/>
      <c r="M60" s="38"/>
      <c r="N60" s="76"/>
      <c r="O60" s="50"/>
      <c r="P60" s="147"/>
    </row>
    <row r="61" spans="1:33" x14ac:dyDescent="0.35">
      <c r="A61" s="121"/>
      <c r="B61" s="12" t="s">
        <v>10</v>
      </c>
      <c r="C61" s="11"/>
      <c r="D61" s="11"/>
      <c r="E61" s="87"/>
      <c r="F61" s="11"/>
      <c r="G61" s="11"/>
      <c r="H61" s="126"/>
      <c r="I61" s="126"/>
      <c r="J61" s="15"/>
      <c r="K61" s="11"/>
      <c r="L61" s="38"/>
      <c r="N61" s="76"/>
      <c r="O61" s="50"/>
      <c r="P61" s="147"/>
    </row>
    <row r="62" spans="1:33" x14ac:dyDescent="0.35">
      <c r="A62" s="121"/>
      <c r="B62" s="14" t="s">
        <v>59</v>
      </c>
      <c r="C62" s="11"/>
      <c r="D62" s="11"/>
      <c r="E62" s="87"/>
      <c r="F62" s="11"/>
      <c r="G62" s="11"/>
      <c r="H62" s="126"/>
      <c r="I62" s="126"/>
      <c r="J62" s="15"/>
      <c r="K62" s="11"/>
      <c r="N62" s="76"/>
      <c r="O62" s="59"/>
      <c r="P62" s="147"/>
    </row>
    <row r="63" spans="1:33" x14ac:dyDescent="0.35">
      <c r="A63" s="121"/>
      <c r="B63" s="15" t="s">
        <v>42</v>
      </c>
      <c r="C63" s="11"/>
      <c r="D63" s="11"/>
      <c r="E63" s="87"/>
      <c r="F63" s="11"/>
      <c r="G63" s="11"/>
      <c r="H63" s="126"/>
      <c r="I63" s="126"/>
      <c r="J63" s="15"/>
      <c r="K63" s="11"/>
      <c r="N63" s="76"/>
      <c r="O63" s="50"/>
      <c r="P63" s="147"/>
    </row>
    <row r="64" spans="1:33" x14ac:dyDescent="0.35">
      <c r="A64" s="121"/>
      <c r="B64" s="15" t="s">
        <v>65</v>
      </c>
      <c r="C64" s="11"/>
      <c r="D64" s="11"/>
      <c r="E64" s="87"/>
      <c r="F64" s="11"/>
      <c r="G64" s="11"/>
      <c r="H64" s="126"/>
      <c r="I64" s="126"/>
      <c r="J64" s="15"/>
      <c r="K64" s="11"/>
      <c r="N64" s="76"/>
      <c r="O64" s="50"/>
      <c r="P64" s="147"/>
      <c r="Q64" s="73"/>
    </row>
    <row r="65" spans="1:33" ht="8.25" customHeight="1" x14ac:dyDescent="0.35">
      <c r="A65" s="121"/>
      <c r="B65" s="15"/>
      <c r="C65" s="11"/>
      <c r="D65" s="11"/>
      <c r="E65" s="87"/>
      <c r="F65" s="11"/>
      <c r="G65" s="11"/>
      <c r="H65" s="126"/>
      <c r="I65" s="126"/>
      <c r="J65" s="15"/>
      <c r="K65" s="11"/>
    </row>
    <row r="66" spans="1:33" x14ac:dyDescent="0.35">
      <c r="A66" s="121"/>
      <c r="B66" s="28" t="s">
        <v>21</v>
      </c>
      <c r="C66" s="11"/>
      <c r="D66" s="11"/>
      <c r="E66" s="87"/>
      <c r="F66" s="11"/>
      <c r="G66" s="11"/>
      <c r="H66" s="126"/>
      <c r="I66" s="126"/>
      <c r="J66" s="15"/>
      <c r="K66" s="11"/>
    </row>
    <row r="67" spans="1:33" x14ac:dyDescent="0.35">
      <c r="A67" s="121"/>
      <c r="B67" s="29" t="s">
        <v>22</v>
      </c>
      <c r="C67" s="11"/>
      <c r="D67" s="11"/>
      <c r="E67" s="87"/>
      <c r="F67" s="11"/>
      <c r="G67" s="11"/>
      <c r="H67" s="126"/>
      <c r="I67" s="126"/>
      <c r="J67" s="15"/>
      <c r="K67" s="11"/>
    </row>
    <row r="68" spans="1:33" x14ac:dyDescent="0.35">
      <c r="A68" s="121"/>
      <c r="B68" s="29" t="s">
        <v>23</v>
      </c>
      <c r="C68" s="11"/>
      <c r="D68" s="11"/>
      <c r="E68" s="87"/>
      <c r="F68" s="11"/>
      <c r="G68" s="11"/>
      <c r="H68" s="126"/>
      <c r="I68" s="126"/>
      <c r="J68" s="15"/>
      <c r="K68" s="11"/>
    </row>
    <row r="69" spans="1:33" x14ac:dyDescent="0.35">
      <c r="A69" s="121"/>
      <c r="B69" s="29" t="s">
        <v>24</v>
      </c>
      <c r="C69" s="11"/>
      <c r="D69" s="11"/>
      <c r="E69" s="87"/>
      <c r="F69" s="11"/>
      <c r="G69" s="11"/>
      <c r="H69" s="126"/>
      <c r="I69" s="126"/>
      <c r="J69" s="15"/>
      <c r="K69" s="11"/>
    </row>
    <row r="70" spans="1:33" ht="8.25" customHeight="1" x14ac:dyDescent="0.35">
      <c r="A70" s="121"/>
      <c r="B70" s="29"/>
      <c r="C70" s="11"/>
      <c r="D70" s="11"/>
      <c r="E70" s="87"/>
      <c r="F70" s="11"/>
      <c r="G70" s="11"/>
      <c r="H70" s="126"/>
      <c r="I70" s="126"/>
      <c r="J70" s="15"/>
      <c r="K70" s="11"/>
    </row>
    <row r="71" spans="1:33" x14ac:dyDescent="0.35">
      <c r="A71" s="121"/>
      <c r="B71" s="193" t="s">
        <v>11</v>
      </c>
      <c r="C71" s="193"/>
      <c r="D71" s="193"/>
      <c r="E71" s="193"/>
      <c r="F71" s="193"/>
      <c r="G71" s="193"/>
      <c r="H71" s="193"/>
      <c r="I71" s="193"/>
      <c r="J71" s="15"/>
      <c r="K71" s="11"/>
    </row>
    <row r="72" spans="1:33" x14ac:dyDescent="0.35">
      <c r="A72" s="121"/>
      <c r="B72" s="193" t="s">
        <v>12</v>
      </c>
      <c r="C72" s="193"/>
      <c r="D72" s="79"/>
      <c r="E72" s="88"/>
      <c r="F72" s="31"/>
      <c r="G72" s="79"/>
      <c r="H72" s="126"/>
      <c r="I72" s="126"/>
      <c r="J72" s="3"/>
      <c r="K72" s="3"/>
    </row>
    <row r="73" spans="1:33" x14ac:dyDescent="0.35">
      <c r="A73" s="121"/>
      <c r="B73" s="193" t="s">
        <v>13</v>
      </c>
      <c r="C73" s="193"/>
      <c r="D73" s="79"/>
      <c r="E73" s="88"/>
      <c r="F73" s="31"/>
      <c r="G73" s="79"/>
      <c r="H73" s="126"/>
      <c r="I73" s="126"/>
      <c r="J73" s="3"/>
      <c r="K73" s="3"/>
    </row>
    <row r="74" spans="1:33" x14ac:dyDescent="0.35">
      <c r="A74" s="192" t="s">
        <v>16</v>
      </c>
      <c r="B74" s="192"/>
      <c r="C74" s="192"/>
      <c r="D74" s="192"/>
      <c r="E74" s="192"/>
      <c r="F74" s="192"/>
      <c r="G74" s="192"/>
      <c r="H74" s="192"/>
      <c r="I74" s="192"/>
      <c r="J74" s="192"/>
      <c r="K74" s="192"/>
    </row>
    <row r="75" spans="1:33" x14ac:dyDescent="0.35">
      <c r="A75" s="192" t="s">
        <v>14</v>
      </c>
      <c r="B75" s="192"/>
      <c r="C75" s="192"/>
      <c r="D75" s="192"/>
      <c r="E75" s="192"/>
      <c r="F75" s="192"/>
      <c r="G75" s="192"/>
      <c r="H75" s="192"/>
      <c r="I75" s="192"/>
      <c r="J75" s="192"/>
      <c r="K75" s="192"/>
    </row>
    <row r="76" spans="1:33" x14ac:dyDescent="0.35">
      <c r="A76" s="192" t="s">
        <v>26</v>
      </c>
      <c r="B76" s="192"/>
      <c r="C76" s="192"/>
      <c r="D76" s="192"/>
      <c r="E76" s="192"/>
      <c r="F76" s="192"/>
      <c r="G76" s="192"/>
      <c r="H76" s="192"/>
      <c r="I76" s="192"/>
      <c r="J76" s="192"/>
      <c r="K76" s="192"/>
    </row>
    <row r="77" spans="1:33" x14ac:dyDescent="0.35">
      <c r="A77" s="192" t="s">
        <v>15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</row>
    <row r="78" spans="1:33" x14ac:dyDescent="0.35">
      <c r="A78" s="122"/>
      <c r="B78" s="32"/>
      <c r="C78" s="52"/>
      <c r="D78" s="81"/>
      <c r="E78" s="89"/>
      <c r="F78" s="32"/>
      <c r="G78" s="81"/>
      <c r="H78" s="123"/>
      <c r="I78" s="131"/>
      <c r="J78" s="32"/>
      <c r="K78" s="32"/>
    </row>
    <row r="79" spans="1:33" x14ac:dyDescent="0.35">
      <c r="A79" s="121"/>
      <c r="B79" s="3"/>
      <c r="C79" s="3"/>
      <c r="D79" s="3"/>
      <c r="E79" s="90"/>
      <c r="F79" s="3"/>
      <c r="G79" s="3"/>
      <c r="H79" s="127"/>
      <c r="I79" s="127"/>
      <c r="J79" s="3"/>
      <c r="K79" s="3"/>
    </row>
    <row r="80" spans="1:33" s="7" customFormat="1" x14ac:dyDescent="0.35">
      <c r="A80" s="121"/>
      <c r="B80" s="3"/>
      <c r="C80" s="3"/>
      <c r="D80" s="3"/>
      <c r="E80" s="90"/>
      <c r="F80" s="3"/>
      <c r="G80" s="3"/>
      <c r="H80" s="127"/>
      <c r="I80" s="127"/>
      <c r="J80" s="3"/>
      <c r="K80" s="3"/>
      <c r="L80" s="27"/>
      <c r="M80" s="27"/>
      <c r="N80" s="27"/>
      <c r="O80" s="27"/>
      <c r="P80" s="27"/>
      <c r="Q80" s="71"/>
      <c r="R80" s="6"/>
      <c r="S80" s="6"/>
      <c r="T80" s="6"/>
      <c r="U80" s="6"/>
      <c r="V80" s="6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</row>
    <row r="81" spans="1:33" s="7" customFormat="1" x14ac:dyDescent="0.35">
      <c r="A81" s="121"/>
      <c r="B81" s="3"/>
      <c r="C81" s="3"/>
      <c r="D81" s="3"/>
      <c r="E81" s="90"/>
      <c r="F81" s="3"/>
      <c r="G81" s="3"/>
      <c r="H81" s="127"/>
      <c r="I81" s="127"/>
      <c r="J81" s="3"/>
      <c r="K81" s="3"/>
      <c r="L81" s="27"/>
      <c r="M81" s="27"/>
      <c r="N81" s="27"/>
      <c r="O81" s="27"/>
      <c r="P81" s="27"/>
      <c r="Q81" s="71"/>
      <c r="R81" s="6"/>
      <c r="S81" s="6"/>
      <c r="T81" s="6"/>
      <c r="U81" s="6"/>
      <c r="V81" s="6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</row>
    <row r="82" spans="1:33" s="7" customFormat="1" x14ac:dyDescent="0.35">
      <c r="A82" s="121"/>
      <c r="B82" s="3"/>
      <c r="C82" s="3"/>
      <c r="D82" s="3"/>
      <c r="E82" s="90"/>
      <c r="F82" s="3"/>
      <c r="G82" s="3"/>
      <c r="H82" s="127"/>
      <c r="I82" s="127"/>
      <c r="J82" s="3"/>
      <c r="K82" s="3"/>
      <c r="L82" s="27"/>
      <c r="M82" s="27"/>
      <c r="N82" s="27"/>
      <c r="O82" s="27"/>
      <c r="P82" s="27"/>
      <c r="Q82" s="71"/>
      <c r="R82" s="6"/>
      <c r="S82" s="6"/>
      <c r="T82" s="6"/>
      <c r="U82" s="6"/>
      <c r="V82" s="6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</row>
    <row r="83" spans="1:33" s="7" customFormat="1" x14ac:dyDescent="0.35">
      <c r="A83" s="121"/>
      <c r="B83" s="3"/>
      <c r="C83" s="3"/>
      <c r="D83" s="3"/>
      <c r="E83" s="90"/>
      <c r="F83" s="3"/>
      <c r="G83" s="3"/>
      <c r="H83" s="127"/>
      <c r="I83" s="127"/>
      <c r="J83" s="3"/>
      <c r="K83" s="3"/>
      <c r="L83" s="27"/>
      <c r="M83" s="27"/>
      <c r="N83" s="27"/>
      <c r="O83" s="27"/>
      <c r="P83" s="27"/>
      <c r="Q83" s="71"/>
      <c r="R83" s="6"/>
      <c r="S83" s="6"/>
      <c r="T83" s="6"/>
      <c r="U83" s="6"/>
      <c r="V83" s="6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</row>
    <row r="84" spans="1:33" s="7" customFormat="1" x14ac:dyDescent="0.35">
      <c r="A84" s="121"/>
      <c r="B84" s="3"/>
      <c r="C84" s="3"/>
      <c r="D84" s="3"/>
      <c r="E84" s="90"/>
      <c r="F84" s="3"/>
      <c r="G84" s="3"/>
      <c r="H84" s="127"/>
      <c r="I84" s="127"/>
      <c r="J84" s="3"/>
      <c r="K84" s="3"/>
      <c r="L84" s="27"/>
      <c r="M84" s="27"/>
      <c r="N84" s="27"/>
      <c r="O84" s="27"/>
      <c r="P84" s="27"/>
      <c r="Q84" s="71"/>
      <c r="R84" s="6"/>
      <c r="S84" s="6"/>
      <c r="T84" s="6"/>
      <c r="U84" s="6"/>
      <c r="V84" s="6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</row>
    <row r="85" spans="1:33" s="7" customFormat="1" x14ac:dyDescent="0.35">
      <c r="A85" s="121"/>
      <c r="B85" s="3"/>
      <c r="C85" s="3"/>
      <c r="D85" s="3"/>
      <c r="E85" s="90"/>
      <c r="F85" s="3"/>
      <c r="G85" s="3"/>
      <c r="H85" s="127"/>
      <c r="I85" s="127"/>
      <c r="J85" s="3"/>
      <c r="K85" s="3"/>
      <c r="L85" s="27"/>
      <c r="M85" s="27"/>
      <c r="N85" s="27"/>
      <c r="O85" s="27"/>
      <c r="P85" s="27"/>
      <c r="Q85" s="71"/>
      <c r="R85" s="6"/>
      <c r="S85" s="6"/>
      <c r="T85" s="6"/>
      <c r="U85" s="6"/>
      <c r="V85" s="6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spans="1:33" s="7" customFormat="1" x14ac:dyDescent="0.35">
      <c r="A86" s="121"/>
      <c r="B86" s="3"/>
      <c r="C86" s="3"/>
      <c r="D86" s="3"/>
      <c r="E86" s="90"/>
      <c r="F86" s="3"/>
      <c r="G86" s="3"/>
      <c r="H86" s="127"/>
      <c r="I86" s="127"/>
      <c r="J86" s="3"/>
      <c r="K86" s="3"/>
      <c r="L86" s="27"/>
      <c r="M86" s="27"/>
      <c r="N86" s="27"/>
      <c r="O86" s="27"/>
      <c r="P86" s="27"/>
      <c r="Q86" s="71"/>
      <c r="R86" s="6"/>
      <c r="S86" s="6"/>
      <c r="T86" s="6"/>
      <c r="U86" s="6"/>
      <c r="V86" s="6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</row>
    <row r="87" spans="1:33" s="7" customFormat="1" x14ac:dyDescent="0.35">
      <c r="A87" s="121"/>
      <c r="B87" s="3"/>
      <c r="C87" s="3"/>
      <c r="D87" s="3"/>
      <c r="E87" s="90"/>
      <c r="F87" s="3"/>
      <c r="G87" s="3"/>
      <c r="H87" s="127"/>
      <c r="I87" s="127"/>
      <c r="J87" s="3"/>
      <c r="K87" s="3"/>
      <c r="L87" s="27"/>
      <c r="M87" s="27"/>
      <c r="N87" s="27"/>
      <c r="O87" s="27"/>
      <c r="P87" s="27"/>
      <c r="Q87" s="71"/>
      <c r="R87" s="6"/>
      <c r="S87" s="6"/>
      <c r="T87" s="6"/>
      <c r="U87" s="6"/>
      <c r="V87" s="6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</row>
    <row r="88" spans="1:33" s="7" customFormat="1" x14ac:dyDescent="0.35">
      <c r="A88" s="121"/>
      <c r="B88" s="3"/>
      <c r="C88" s="3"/>
      <c r="D88" s="3"/>
      <c r="E88" s="90"/>
      <c r="F88" s="3"/>
      <c r="G88" s="3"/>
      <c r="H88" s="127"/>
      <c r="I88" s="127"/>
      <c r="J88" s="3"/>
      <c r="K88" s="3"/>
      <c r="L88" s="27"/>
      <c r="M88" s="27"/>
      <c r="N88" s="27"/>
      <c r="O88" s="27"/>
      <c r="P88" s="27"/>
      <c r="Q88" s="71"/>
      <c r="R88" s="6"/>
      <c r="S88" s="6"/>
      <c r="T88" s="6"/>
      <c r="U88" s="6"/>
      <c r="V88" s="6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</row>
    <row r="89" spans="1:33" s="7" customFormat="1" x14ac:dyDescent="0.35">
      <c r="A89" s="121"/>
      <c r="B89" s="3"/>
      <c r="C89" s="3"/>
      <c r="D89" s="3"/>
      <c r="E89" s="90"/>
      <c r="F89" s="3"/>
      <c r="G89" s="3"/>
      <c r="H89" s="127"/>
      <c r="I89" s="127"/>
      <c r="J89" s="3"/>
      <c r="K89" s="3"/>
      <c r="L89" s="27"/>
      <c r="M89" s="27"/>
      <c r="N89" s="27"/>
      <c r="O89" s="27"/>
      <c r="P89" s="27"/>
      <c r="Q89" s="71"/>
      <c r="R89" s="6"/>
      <c r="S89" s="6"/>
      <c r="T89" s="6"/>
      <c r="U89" s="6"/>
      <c r="V89" s="6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</row>
    <row r="90" spans="1:33" x14ac:dyDescent="0.35">
      <c r="A90" s="121"/>
      <c r="B90" s="3"/>
      <c r="C90" s="3"/>
      <c r="D90" s="3"/>
      <c r="E90" s="90"/>
      <c r="F90" s="3"/>
      <c r="G90" s="3"/>
      <c r="H90" s="127"/>
      <c r="I90" s="127"/>
      <c r="J90" s="3"/>
      <c r="K90" s="3"/>
    </row>
    <row r="91" spans="1:33" s="7" customFormat="1" x14ac:dyDescent="0.35">
      <c r="A91" s="121"/>
      <c r="B91" s="3"/>
      <c r="C91" s="3"/>
      <c r="D91" s="3"/>
      <c r="E91" s="90"/>
      <c r="F91" s="3"/>
      <c r="G91" s="3"/>
      <c r="H91" s="127"/>
      <c r="I91" s="127"/>
      <c r="J91" s="3"/>
      <c r="K91" s="3"/>
      <c r="L91" s="27"/>
      <c r="M91" s="27"/>
      <c r="N91" s="27"/>
      <c r="O91" s="27"/>
      <c r="P91" s="27"/>
      <c r="Q91" s="71"/>
      <c r="R91" s="6"/>
      <c r="S91" s="6"/>
      <c r="T91" s="6"/>
      <c r="U91" s="6"/>
      <c r="V91" s="6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</row>
    <row r="92" spans="1:33" x14ac:dyDescent="0.35">
      <c r="A92" s="121"/>
      <c r="B92" s="3"/>
      <c r="C92" s="3"/>
      <c r="D92" s="3"/>
      <c r="E92" s="90"/>
      <c r="F92" s="3"/>
      <c r="G92" s="3"/>
      <c r="H92" s="127"/>
      <c r="I92" s="127"/>
      <c r="J92" s="3"/>
      <c r="K92" s="3"/>
    </row>
    <row r="93" spans="1:33" s="7" customFormat="1" x14ac:dyDescent="0.35">
      <c r="A93" s="121"/>
      <c r="B93" s="3"/>
      <c r="C93" s="3"/>
      <c r="D93" s="3"/>
      <c r="E93" s="90"/>
      <c r="F93" s="3"/>
      <c r="G93" s="3"/>
      <c r="H93" s="127"/>
      <c r="I93" s="127"/>
      <c r="J93" s="3"/>
      <c r="K93" s="3"/>
      <c r="L93" s="27"/>
      <c r="M93" s="27"/>
      <c r="N93" s="27"/>
      <c r="O93" s="27"/>
      <c r="P93" s="27"/>
      <c r="Q93" s="71"/>
      <c r="R93" s="6"/>
      <c r="S93" s="6"/>
      <c r="T93" s="6"/>
      <c r="U93" s="6"/>
      <c r="V93" s="6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spans="1:33" s="7" customFormat="1" x14ac:dyDescent="0.35">
      <c r="A94" s="121"/>
      <c r="B94" s="3"/>
      <c r="C94" s="3"/>
      <c r="D94" s="3"/>
      <c r="E94" s="90"/>
      <c r="F94" s="3"/>
      <c r="G94" s="3"/>
      <c r="H94" s="127"/>
      <c r="I94" s="127"/>
      <c r="J94" s="3"/>
      <c r="K94" s="3"/>
      <c r="L94" s="27"/>
      <c r="M94" s="27"/>
      <c r="N94" s="27"/>
      <c r="O94" s="27"/>
      <c r="P94" s="27"/>
      <c r="Q94" s="71"/>
      <c r="R94" s="6"/>
      <c r="S94" s="6"/>
      <c r="T94" s="6"/>
      <c r="U94" s="6"/>
      <c r="V94" s="6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spans="1:33" s="7" customFormat="1" x14ac:dyDescent="0.35">
      <c r="A95" s="121"/>
      <c r="B95" s="3"/>
      <c r="C95" s="3"/>
      <c r="D95" s="3"/>
      <c r="E95" s="90"/>
      <c r="F95" s="3"/>
      <c r="G95" s="3"/>
      <c r="H95" s="127"/>
      <c r="I95" s="127"/>
      <c r="J95" s="3"/>
      <c r="K95" s="3"/>
      <c r="L95" s="27"/>
      <c r="M95" s="27"/>
      <c r="N95" s="27"/>
      <c r="O95" s="27"/>
      <c r="P95" s="27"/>
      <c r="Q95" s="71"/>
      <c r="R95" s="6"/>
      <c r="S95" s="6"/>
      <c r="T95" s="6"/>
      <c r="U95" s="6"/>
      <c r="V95" s="6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</row>
    <row r="96" spans="1:33" s="7" customFormat="1" x14ac:dyDescent="0.35">
      <c r="A96" s="121"/>
      <c r="B96" s="3"/>
      <c r="C96" s="3"/>
      <c r="D96" s="3"/>
      <c r="E96" s="90"/>
      <c r="F96" s="3"/>
      <c r="G96" s="3"/>
      <c r="H96" s="127"/>
      <c r="I96" s="127"/>
      <c r="J96" s="3"/>
      <c r="K96" s="3"/>
      <c r="L96" s="27"/>
      <c r="M96" s="27"/>
      <c r="N96" s="27"/>
      <c r="O96" s="27"/>
      <c r="P96" s="27"/>
      <c r="Q96" s="71"/>
      <c r="R96" s="6"/>
      <c r="S96" s="6"/>
      <c r="T96" s="6"/>
      <c r="U96" s="6"/>
      <c r="V96" s="6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</row>
    <row r="97" spans="1:33" s="7" customFormat="1" x14ac:dyDescent="0.35">
      <c r="A97" s="121"/>
      <c r="B97" s="3"/>
      <c r="C97" s="3"/>
      <c r="D97" s="3"/>
      <c r="E97" s="90"/>
      <c r="F97" s="3"/>
      <c r="G97" s="3"/>
      <c r="H97" s="127"/>
      <c r="I97" s="127"/>
      <c r="J97" s="3"/>
      <c r="K97" s="3"/>
      <c r="L97" s="27"/>
      <c r="M97" s="27"/>
      <c r="N97" s="27"/>
      <c r="O97" s="27"/>
      <c r="P97" s="27"/>
      <c r="Q97" s="71"/>
      <c r="R97" s="6"/>
      <c r="S97" s="6"/>
      <c r="T97" s="6"/>
      <c r="U97" s="6"/>
      <c r="V97" s="6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</row>
    <row r="98" spans="1:33" s="7" customFormat="1" x14ac:dyDescent="0.35">
      <c r="A98" s="121"/>
      <c r="B98" s="3"/>
      <c r="C98" s="3"/>
      <c r="D98" s="3"/>
      <c r="E98" s="90"/>
      <c r="F98" s="3"/>
      <c r="G98" s="3"/>
      <c r="H98" s="127"/>
      <c r="I98" s="127"/>
      <c r="J98" s="3"/>
      <c r="K98" s="3"/>
      <c r="L98" s="27"/>
      <c r="M98" s="27"/>
      <c r="N98" s="27"/>
      <c r="O98" s="27"/>
      <c r="P98" s="27"/>
      <c r="Q98" s="71"/>
      <c r="R98" s="6"/>
      <c r="S98" s="6"/>
      <c r="T98" s="6"/>
      <c r="U98" s="6"/>
      <c r="V98" s="6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</row>
    <row r="99" spans="1:33" s="7" customFormat="1" x14ac:dyDescent="0.35">
      <c r="A99" s="121"/>
      <c r="B99" s="3"/>
      <c r="C99" s="3"/>
      <c r="D99" s="3"/>
      <c r="E99" s="90"/>
      <c r="F99" s="3"/>
      <c r="G99" s="3"/>
      <c r="H99" s="127"/>
      <c r="I99" s="127"/>
      <c r="J99" s="3"/>
      <c r="K99" s="3"/>
      <c r="L99" s="27"/>
      <c r="M99" s="27"/>
      <c r="N99" s="27"/>
      <c r="O99" s="27"/>
      <c r="P99" s="27"/>
      <c r="Q99" s="71"/>
      <c r="R99" s="6"/>
      <c r="S99" s="6"/>
      <c r="T99" s="6"/>
      <c r="U99" s="6"/>
      <c r="V99" s="6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</row>
    <row r="100" spans="1:33" s="7" customFormat="1" x14ac:dyDescent="0.35">
      <c r="A100" s="121"/>
      <c r="B100" s="3"/>
      <c r="C100" s="3"/>
      <c r="D100" s="3"/>
      <c r="E100" s="90"/>
      <c r="F100" s="3"/>
      <c r="G100" s="3"/>
      <c r="H100" s="127"/>
      <c r="I100" s="127"/>
      <c r="J100" s="3"/>
      <c r="K100" s="3"/>
      <c r="L100" s="27"/>
      <c r="M100" s="27"/>
      <c r="N100" s="27"/>
      <c r="O100" s="27"/>
      <c r="P100" s="27"/>
      <c r="Q100" s="71"/>
      <c r="R100" s="6"/>
      <c r="S100" s="6"/>
      <c r="T100" s="6"/>
      <c r="U100" s="6"/>
      <c r="V100" s="6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</row>
    <row r="101" spans="1:33" s="7" customFormat="1" x14ac:dyDescent="0.35">
      <c r="A101" s="121"/>
      <c r="B101" s="3"/>
      <c r="C101" s="3"/>
      <c r="D101" s="3"/>
      <c r="E101" s="90"/>
      <c r="F101" s="3"/>
      <c r="G101" s="3"/>
      <c r="H101" s="127"/>
      <c r="I101" s="127"/>
      <c r="J101" s="3"/>
      <c r="K101" s="3"/>
      <c r="L101" s="27"/>
      <c r="M101" s="27"/>
      <c r="N101" s="27"/>
      <c r="O101" s="27"/>
      <c r="P101" s="27"/>
      <c r="Q101" s="71"/>
      <c r="R101" s="6"/>
      <c r="S101" s="6"/>
      <c r="T101" s="6"/>
      <c r="U101" s="6"/>
      <c r="V101" s="6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</row>
    <row r="102" spans="1:33" s="7" customFormat="1" x14ac:dyDescent="0.35">
      <c r="A102" s="121"/>
      <c r="B102" s="3"/>
      <c r="C102" s="3"/>
      <c r="D102" s="3"/>
      <c r="E102" s="90"/>
      <c r="F102" s="3"/>
      <c r="G102" s="3"/>
      <c r="H102" s="127"/>
      <c r="I102" s="127"/>
      <c r="J102" s="3"/>
      <c r="K102" s="3"/>
      <c r="L102" s="27"/>
      <c r="M102" s="27"/>
      <c r="N102" s="27"/>
      <c r="O102" s="27"/>
      <c r="P102" s="27"/>
      <c r="Q102" s="71"/>
      <c r="R102" s="6"/>
      <c r="S102" s="6"/>
      <c r="T102" s="6"/>
      <c r="U102" s="6"/>
      <c r="V102" s="6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</row>
    <row r="103" spans="1:33" s="7" customFormat="1" x14ac:dyDescent="0.35">
      <c r="A103" s="121"/>
      <c r="B103" s="3"/>
      <c r="C103" s="3"/>
      <c r="D103" s="3"/>
      <c r="E103" s="90"/>
      <c r="F103" s="3"/>
      <c r="G103" s="3"/>
      <c r="H103" s="127"/>
      <c r="I103" s="127"/>
      <c r="J103" s="3"/>
      <c r="K103" s="3"/>
      <c r="L103" s="27"/>
      <c r="M103" s="27"/>
      <c r="N103" s="27"/>
      <c r="O103" s="27"/>
      <c r="P103" s="27"/>
      <c r="Q103" s="71"/>
      <c r="R103" s="6"/>
      <c r="S103" s="6"/>
      <c r="T103" s="6"/>
      <c r="U103" s="6"/>
      <c r="V103" s="6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</row>
    <row r="104" spans="1:33" s="7" customFormat="1" x14ac:dyDescent="0.35">
      <c r="A104" s="121"/>
      <c r="B104" s="3"/>
      <c r="C104" s="3"/>
      <c r="D104" s="3"/>
      <c r="E104" s="90"/>
      <c r="F104" s="3"/>
      <c r="G104" s="3"/>
      <c r="H104" s="127"/>
      <c r="I104" s="127"/>
      <c r="J104" s="3"/>
      <c r="K104" s="3"/>
      <c r="L104" s="27"/>
      <c r="M104" s="27"/>
      <c r="N104" s="27"/>
      <c r="O104" s="27"/>
      <c r="P104" s="27"/>
      <c r="Q104" s="71"/>
      <c r="R104" s="6"/>
      <c r="S104" s="6"/>
      <c r="T104" s="6"/>
      <c r="U104" s="6"/>
      <c r="V104" s="6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</row>
    <row r="105" spans="1:33" s="7" customFormat="1" x14ac:dyDescent="0.35">
      <c r="A105" s="121"/>
      <c r="B105" s="3"/>
      <c r="C105" s="3"/>
      <c r="D105" s="3"/>
      <c r="E105" s="90"/>
      <c r="F105" s="3"/>
      <c r="G105" s="3"/>
      <c r="H105" s="127"/>
      <c r="I105" s="127"/>
      <c r="J105" s="3"/>
      <c r="K105" s="3"/>
      <c r="L105" s="27"/>
      <c r="M105" s="27"/>
      <c r="N105" s="27"/>
      <c r="O105" s="27"/>
      <c r="P105" s="27"/>
      <c r="Q105" s="71"/>
      <c r="R105" s="6"/>
      <c r="S105" s="6"/>
      <c r="T105" s="6"/>
      <c r="U105" s="6"/>
      <c r="V105" s="6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</row>
    <row r="106" spans="1:33" x14ac:dyDescent="0.35">
      <c r="A106" s="121"/>
      <c r="B106" s="3"/>
      <c r="C106" s="3"/>
      <c r="D106" s="3"/>
      <c r="E106" s="90"/>
      <c r="F106" s="3"/>
      <c r="G106" s="3"/>
      <c r="H106" s="127"/>
      <c r="I106" s="127"/>
      <c r="J106" s="3"/>
      <c r="K106" s="3"/>
    </row>
    <row r="107" spans="1:33" x14ac:dyDescent="0.35">
      <c r="A107" s="121"/>
      <c r="B107" s="3"/>
      <c r="C107" s="3"/>
      <c r="D107" s="3"/>
      <c r="E107" s="90"/>
      <c r="F107" s="3"/>
      <c r="G107" s="3"/>
      <c r="H107" s="127"/>
      <c r="I107" s="127"/>
      <c r="J107" s="3"/>
      <c r="K107" s="3"/>
    </row>
    <row r="108" spans="1:33" x14ac:dyDescent="0.35">
      <c r="A108" s="121"/>
      <c r="B108" s="3"/>
      <c r="C108" s="3"/>
      <c r="D108" s="3"/>
      <c r="E108" s="90"/>
      <c r="F108" s="3"/>
      <c r="G108" s="3"/>
      <c r="H108" s="127"/>
      <c r="I108" s="127"/>
      <c r="J108" s="3"/>
      <c r="K108" s="3"/>
    </row>
    <row r="109" spans="1:33" x14ac:dyDescent="0.35">
      <c r="A109" s="121"/>
      <c r="B109" s="3"/>
      <c r="C109" s="3"/>
      <c r="D109" s="3"/>
      <c r="E109" s="90"/>
      <c r="F109" s="3"/>
      <c r="G109" s="3"/>
      <c r="H109" s="127"/>
      <c r="I109" s="127"/>
      <c r="J109" s="3"/>
      <c r="K109" s="3"/>
    </row>
    <row r="110" spans="1:33" x14ac:dyDescent="0.35">
      <c r="A110" s="121"/>
      <c r="B110" s="3"/>
      <c r="C110" s="3"/>
      <c r="D110" s="3"/>
      <c r="E110" s="90"/>
      <c r="F110" s="3"/>
      <c r="G110" s="3"/>
      <c r="H110" s="127"/>
      <c r="I110" s="127"/>
      <c r="J110" s="3"/>
      <c r="K110" s="3"/>
    </row>
    <row r="111" spans="1:33" x14ac:dyDescent="0.35">
      <c r="A111" s="121"/>
      <c r="B111" s="3"/>
      <c r="C111" s="3"/>
      <c r="D111" s="3"/>
      <c r="E111" s="90"/>
      <c r="F111" s="3"/>
      <c r="G111" s="3"/>
      <c r="H111" s="127"/>
      <c r="I111" s="127"/>
      <c r="J111" s="3"/>
      <c r="K111" s="3"/>
    </row>
    <row r="112" spans="1:33" x14ac:dyDescent="0.35">
      <c r="A112" s="121"/>
      <c r="B112" s="3"/>
      <c r="C112" s="3"/>
      <c r="D112" s="3"/>
      <c r="E112" s="90"/>
      <c r="F112" s="3"/>
      <c r="G112" s="3"/>
      <c r="H112" s="127"/>
      <c r="I112" s="127"/>
      <c r="J112" s="3"/>
      <c r="K112" s="3"/>
    </row>
    <row r="113" spans="1:11" x14ac:dyDescent="0.35">
      <c r="A113" s="121"/>
      <c r="B113" s="3"/>
      <c r="C113" s="3"/>
      <c r="D113" s="3"/>
      <c r="E113" s="90"/>
      <c r="F113" s="3"/>
      <c r="G113" s="3"/>
      <c r="H113" s="127"/>
      <c r="I113" s="127"/>
      <c r="J113" s="3"/>
      <c r="K113" s="3"/>
    </row>
    <row r="114" spans="1:11" x14ac:dyDescent="0.35">
      <c r="A114" s="121"/>
      <c r="B114" s="3"/>
      <c r="C114" s="3"/>
      <c r="D114" s="3"/>
      <c r="E114" s="90"/>
      <c r="F114" s="3"/>
      <c r="G114" s="3"/>
      <c r="H114" s="127"/>
      <c r="I114" s="127"/>
      <c r="J114" s="3"/>
      <c r="K114" s="3"/>
    </row>
    <row r="115" spans="1:11" x14ac:dyDescent="0.35">
      <c r="A115" s="121"/>
      <c r="B115" s="3"/>
      <c r="C115" s="3"/>
      <c r="D115" s="3"/>
      <c r="E115" s="90"/>
      <c r="F115" s="3"/>
      <c r="G115" s="3"/>
      <c r="H115" s="127"/>
      <c r="I115" s="127"/>
      <c r="J115" s="3"/>
      <c r="K115" s="3"/>
    </row>
    <row r="116" spans="1:11" x14ac:dyDescent="0.35">
      <c r="A116" s="121"/>
      <c r="B116" s="3"/>
      <c r="C116" s="3"/>
      <c r="D116" s="3"/>
      <c r="E116" s="90"/>
      <c r="F116" s="3"/>
      <c r="G116" s="3"/>
      <c r="H116" s="127"/>
      <c r="I116" s="127"/>
      <c r="J116" s="3"/>
      <c r="K116" s="3"/>
    </row>
    <row r="117" spans="1:11" x14ac:dyDescent="0.35">
      <c r="A117" s="121"/>
      <c r="B117" s="3"/>
      <c r="C117" s="3"/>
      <c r="D117" s="3"/>
      <c r="E117" s="90"/>
      <c r="F117" s="3"/>
      <c r="G117" s="3"/>
      <c r="H117" s="127"/>
      <c r="I117" s="127"/>
      <c r="J117" s="3"/>
      <c r="K117" s="3"/>
    </row>
    <row r="118" spans="1:11" x14ac:dyDescent="0.35">
      <c r="A118" s="121"/>
      <c r="B118" s="3"/>
      <c r="C118" s="3"/>
      <c r="D118" s="3"/>
      <c r="E118" s="90"/>
      <c r="F118" s="3"/>
      <c r="G118" s="3"/>
      <c r="H118" s="127"/>
      <c r="I118" s="127"/>
      <c r="J118" s="3"/>
      <c r="K118" s="3"/>
    </row>
    <row r="119" spans="1:11" x14ac:dyDescent="0.35">
      <c r="A119" s="121"/>
      <c r="B119" s="3"/>
      <c r="C119" s="3"/>
      <c r="D119" s="3"/>
      <c r="E119" s="90"/>
      <c r="F119" s="3"/>
      <c r="G119" s="3"/>
      <c r="H119" s="127"/>
      <c r="I119" s="127"/>
      <c r="J119" s="3"/>
      <c r="K119" s="3"/>
    </row>
    <row r="120" spans="1:11" x14ac:dyDescent="0.35">
      <c r="A120" s="121"/>
      <c r="B120" s="3"/>
      <c r="C120" s="3"/>
      <c r="D120" s="3"/>
      <c r="E120" s="90"/>
      <c r="F120" s="3"/>
      <c r="G120" s="3"/>
      <c r="H120" s="127"/>
      <c r="I120" s="127"/>
      <c r="J120" s="3"/>
      <c r="K120" s="3"/>
    </row>
    <row r="121" spans="1:11" x14ac:dyDescent="0.35">
      <c r="A121" s="121"/>
      <c r="B121" s="3"/>
      <c r="C121" s="3"/>
      <c r="D121" s="3"/>
      <c r="E121" s="90"/>
      <c r="F121" s="3"/>
      <c r="G121" s="3"/>
      <c r="H121" s="127"/>
      <c r="I121" s="127"/>
      <c r="J121" s="3"/>
      <c r="K121" s="3"/>
    </row>
    <row r="122" spans="1:11" x14ac:dyDescent="0.35">
      <c r="A122" s="121"/>
      <c r="B122" s="3"/>
      <c r="C122" s="3"/>
      <c r="D122" s="3"/>
      <c r="E122" s="90"/>
      <c r="F122" s="3"/>
      <c r="G122" s="3"/>
      <c r="H122" s="127"/>
      <c r="I122" s="127"/>
      <c r="J122" s="3"/>
      <c r="K122" s="3"/>
    </row>
    <row r="123" spans="1:11" x14ac:dyDescent="0.35">
      <c r="A123" s="121"/>
      <c r="B123" s="3"/>
      <c r="C123" s="3"/>
      <c r="D123" s="3"/>
      <c r="E123" s="90"/>
      <c r="F123" s="3"/>
      <c r="G123" s="3"/>
      <c r="H123" s="127"/>
      <c r="I123" s="127"/>
      <c r="J123" s="3"/>
      <c r="K123" s="3"/>
    </row>
    <row r="124" spans="1:11" x14ac:dyDescent="0.35">
      <c r="A124" s="121"/>
      <c r="B124" s="3"/>
      <c r="C124" s="3"/>
      <c r="D124" s="3"/>
      <c r="E124" s="90"/>
      <c r="F124" s="3"/>
      <c r="G124" s="3"/>
      <c r="H124" s="127"/>
      <c r="I124" s="127"/>
      <c r="J124" s="3"/>
      <c r="K124" s="3"/>
    </row>
    <row r="125" spans="1:11" x14ac:dyDescent="0.35">
      <c r="A125" s="121"/>
      <c r="B125" s="3"/>
      <c r="C125" s="3"/>
      <c r="D125" s="3"/>
      <c r="E125" s="90"/>
      <c r="F125" s="3"/>
      <c r="G125" s="3"/>
      <c r="H125" s="127"/>
      <c r="I125" s="127"/>
      <c r="J125" s="3"/>
      <c r="K125" s="3"/>
    </row>
    <row r="126" spans="1:11" x14ac:dyDescent="0.35">
      <c r="A126" s="121"/>
      <c r="B126" s="3"/>
      <c r="C126" s="3"/>
      <c r="D126" s="3"/>
      <c r="E126" s="90"/>
      <c r="F126" s="3"/>
      <c r="G126" s="3"/>
      <c r="H126" s="127"/>
      <c r="I126" s="127"/>
      <c r="J126" s="3"/>
      <c r="K126" s="3"/>
    </row>
    <row r="127" spans="1:11" x14ac:dyDescent="0.35">
      <c r="A127" s="121"/>
      <c r="B127" s="3"/>
      <c r="C127" s="3"/>
      <c r="D127" s="3"/>
      <c r="E127" s="90"/>
      <c r="F127" s="3"/>
      <c r="G127" s="3"/>
      <c r="H127" s="127"/>
      <c r="I127" s="127"/>
      <c r="J127" s="3"/>
      <c r="K127" s="3"/>
    </row>
    <row r="128" spans="1:11" x14ac:dyDescent="0.35">
      <c r="A128" s="121"/>
      <c r="B128" s="3"/>
      <c r="C128" s="3"/>
      <c r="D128" s="3"/>
      <c r="E128" s="90"/>
      <c r="F128" s="3"/>
      <c r="G128" s="3"/>
      <c r="H128" s="127"/>
      <c r="I128" s="127"/>
      <c r="J128" s="3"/>
      <c r="K128" s="3"/>
    </row>
    <row r="129" spans="1:11" x14ac:dyDescent="0.35">
      <c r="A129" s="121"/>
      <c r="B129" s="3"/>
      <c r="C129" s="3"/>
      <c r="D129" s="3"/>
      <c r="E129" s="90"/>
      <c r="F129" s="3"/>
      <c r="G129" s="3"/>
      <c r="H129" s="127"/>
      <c r="I129" s="127"/>
      <c r="J129" s="3"/>
      <c r="K129" s="3"/>
    </row>
    <row r="130" spans="1:11" x14ac:dyDescent="0.35">
      <c r="A130" s="121"/>
      <c r="B130" s="3"/>
      <c r="C130" s="3"/>
      <c r="D130" s="3"/>
      <c r="E130" s="90"/>
      <c r="F130" s="3"/>
      <c r="G130" s="3"/>
      <c r="H130" s="127"/>
      <c r="I130" s="127"/>
      <c r="J130" s="3"/>
      <c r="K130" s="3"/>
    </row>
    <row r="131" spans="1:11" x14ac:dyDescent="0.35">
      <c r="A131" s="121"/>
      <c r="B131" s="3"/>
      <c r="C131" s="3"/>
      <c r="D131" s="3"/>
      <c r="E131" s="90"/>
      <c r="F131" s="3"/>
      <c r="G131" s="3"/>
      <c r="H131" s="127"/>
      <c r="I131" s="127"/>
      <c r="J131" s="3"/>
      <c r="K131" s="3"/>
    </row>
    <row r="132" spans="1:11" x14ac:dyDescent="0.35">
      <c r="A132" s="121"/>
      <c r="B132" s="3"/>
      <c r="C132" s="3"/>
      <c r="D132" s="3"/>
      <c r="E132" s="90"/>
      <c r="F132" s="3"/>
      <c r="G132" s="3"/>
      <c r="H132" s="127"/>
      <c r="I132" s="127"/>
      <c r="J132" s="3"/>
      <c r="K132" s="3"/>
    </row>
    <row r="133" spans="1:11" x14ac:dyDescent="0.35">
      <c r="A133" s="121"/>
      <c r="B133" s="3"/>
      <c r="C133" s="3"/>
      <c r="D133" s="3"/>
      <c r="E133" s="90"/>
      <c r="F133" s="3"/>
      <c r="G133" s="3"/>
      <c r="H133" s="127"/>
      <c r="I133" s="127"/>
      <c r="J133" s="3"/>
      <c r="K133" s="3"/>
    </row>
    <row r="134" spans="1:11" x14ac:dyDescent="0.35">
      <c r="A134" s="121"/>
      <c r="B134" s="3"/>
      <c r="C134" s="3"/>
      <c r="D134" s="3"/>
      <c r="E134" s="90"/>
      <c r="F134" s="3"/>
      <c r="G134" s="3"/>
      <c r="H134" s="127"/>
      <c r="I134" s="127"/>
      <c r="J134" s="3"/>
      <c r="K134" s="3"/>
    </row>
    <row r="135" spans="1:11" x14ac:dyDescent="0.35">
      <c r="A135" s="121"/>
      <c r="B135" s="3"/>
      <c r="C135" s="3"/>
      <c r="D135" s="3"/>
      <c r="E135" s="90"/>
      <c r="F135" s="3"/>
      <c r="G135" s="3"/>
      <c r="H135" s="127"/>
      <c r="I135" s="127"/>
      <c r="J135" s="3"/>
      <c r="K135" s="3"/>
    </row>
    <row r="136" spans="1:11" x14ac:dyDescent="0.35">
      <c r="A136" s="121"/>
      <c r="B136" s="3"/>
      <c r="C136" s="3"/>
      <c r="D136" s="3"/>
      <c r="E136" s="90"/>
      <c r="F136" s="3"/>
      <c r="G136" s="3"/>
      <c r="H136" s="127"/>
      <c r="I136" s="127"/>
      <c r="J136" s="3"/>
      <c r="K136" s="3"/>
    </row>
    <row r="137" spans="1:11" x14ac:dyDescent="0.35">
      <c r="A137" s="121"/>
      <c r="B137" s="3"/>
      <c r="C137" s="3"/>
      <c r="D137" s="3"/>
      <c r="E137" s="90"/>
      <c r="F137" s="3"/>
      <c r="G137" s="3"/>
      <c r="H137" s="127"/>
      <c r="I137" s="127"/>
      <c r="J137" s="3"/>
      <c r="K137" s="3"/>
    </row>
  </sheetData>
  <autoFilter ref="A18:Q27">
    <sortState ref="A19:S35">
      <sortCondition ref="B18"/>
    </sortState>
  </autoFilter>
  <mergeCells count="24">
    <mergeCell ref="A1:K2"/>
    <mergeCell ref="A9:K9"/>
    <mergeCell ref="A10:B10"/>
    <mergeCell ref="A16:K16"/>
    <mergeCell ref="A77:K77"/>
    <mergeCell ref="B72:C72"/>
    <mergeCell ref="B73:C73"/>
    <mergeCell ref="A74:K74"/>
    <mergeCell ref="A75:K75"/>
    <mergeCell ref="A76:K76"/>
    <mergeCell ref="B71:I71"/>
    <mergeCell ref="A12:H12"/>
    <mergeCell ref="A13:H13"/>
    <mergeCell ref="A14:H14"/>
    <mergeCell ref="A15:H15"/>
    <mergeCell ref="G57:K57"/>
    <mergeCell ref="G58:K58"/>
    <mergeCell ref="G54:K54"/>
    <mergeCell ref="G55:K55"/>
    <mergeCell ref="G56:K56"/>
    <mergeCell ref="K47:K50"/>
    <mergeCell ref="J47:J50"/>
    <mergeCell ref="I47:I50"/>
    <mergeCell ref="H47:H50"/>
  </mergeCells>
  <printOptions horizontalCentered="1"/>
  <pageMargins left="0.25" right="0.25" top="0.75" bottom="0.75" header="0.3" footer="0.3"/>
  <pageSetup paperSize="9" scale="71" orientation="portrait" r:id="rId1"/>
  <rowBreaks count="1" manualBreakCount="1">
    <brk id="7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16" workbookViewId="0">
      <selection activeCell="K34" sqref="K34"/>
    </sheetView>
  </sheetViews>
  <sheetFormatPr defaultRowHeight="14.5" x14ac:dyDescent="0.35"/>
  <cols>
    <col min="1" max="1" width="39.1796875" customWidth="1"/>
    <col min="5" max="5" width="11.54296875" bestFit="1" customWidth="1"/>
  </cols>
  <sheetData>
    <row r="1" spans="1:5" ht="15" thickBot="1" x14ac:dyDescent="0.4">
      <c r="A1" s="148"/>
    </row>
    <row r="2" spans="1:5" ht="15" thickBot="1" x14ac:dyDescent="0.4">
      <c r="A2" s="198" t="s">
        <v>68</v>
      </c>
      <c r="B2" s="199"/>
      <c r="C2" s="199"/>
      <c r="D2" s="200"/>
      <c r="E2" s="149"/>
    </row>
    <row r="3" spans="1:5" ht="15" thickBot="1" x14ac:dyDescent="0.4">
      <c r="A3" s="150" t="s">
        <v>69</v>
      </c>
      <c r="B3" s="151" t="s">
        <v>70</v>
      </c>
      <c r="C3" s="151" t="s">
        <v>6</v>
      </c>
      <c r="D3" s="151" t="s">
        <v>71</v>
      </c>
      <c r="E3" s="152"/>
    </row>
    <row r="4" spans="1:5" ht="15" thickBot="1" x14ac:dyDescent="0.4">
      <c r="A4" s="153" t="s">
        <v>72</v>
      </c>
      <c r="B4" s="154">
        <v>2</v>
      </c>
      <c r="C4" s="155" t="s">
        <v>73</v>
      </c>
      <c r="D4" s="156">
        <v>30000</v>
      </c>
      <c r="E4" s="160"/>
    </row>
    <row r="5" spans="1:5" ht="15" thickBot="1" x14ac:dyDescent="0.4">
      <c r="A5" s="153" t="s">
        <v>74</v>
      </c>
      <c r="B5" s="154">
        <v>1</v>
      </c>
      <c r="C5" s="155" t="s">
        <v>58</v>
      </c>
      <c r="D5" s="156">
        <v>15000</v>
      </c>
      <c r="E5" s="160"/>
    </row>
    <row r="6" spans="1:5" ht="15" thickBot="1" x14ac:dyDescent="0.4">
      <c r="A6" s="195"/>
      <c r="B6" s="196"/>
      <c r="C6" s="197"/>
      <c r="D6" s="157">
        <f>SUM(D4:D5)</f>
        <v>45000</v>
      </c>
      <c r="E6" s="161">
        <v>45000</v>
      </c>
    </row>
    <row r="7" spans="1:5" ht="15" thickBot="1" x14ac:dyDescent="0.4">
      <c r="A7" s="153" t="s">
        <v>81</v>
      </c>
      <c r="B7" s="155"/>
      <c r="C7" s="155"/>
      <c r="D7" s="155"/>
      <c r="E7" s="160">
        <v>10000</v>
      </c>
    </row>
    <row r="8" spans="1:5" ht="15" thickBot="1" x14ac:dyDescent="0.4">
      <c r="A8" s="198" t="s">
        <v>75</v>
      </c>
      <c r="B8" s="199"/>
      <c r="C8" s="199"/>
      <c r="D8" s="200"/>
      <c r="E8" s="160"/>
    </row>
    <row r="9" spans="1:5" ht="15" thickBot="1" x14ac:dyDescent="0.4">
      <c r="A9" s="150" t="s">
        <v>69</v>
      </c>
      <c r="B9" s="151" t="s">
        <v>70</v>
      </c>
      <c r="C9" s="151" t="s">
        <v>6</v>
      </c>
      <c r="D9" s="151" t="s">
        <v>71</v>
      </c>
      <c r="E9" s="160"/>
    </row>
    <row r="10" spans="1:5" ht="15" thickBot="1" x14ac:dyDescent="0.4">
      <c r="A10" s="153" t="s">
        <v>72</v>
      </c>
      <c r="B10" s="154">
        <v>1</v>
      </c>
      <c r="C10" s="155" t="s">
        <v>73</v>
      </c>
      <c r="D10" s="156">
        <v>20000</v>
      </c>
      <c r="E10" s="160"/>
    </row>
    <row r="11" spans="1:5" ht="15" thickBot="1" x14ac:dyDescent="0.4">
      <c r="A11" s="153" t="s">
        <v>74</v>
      </c>
      <c r="B11" s="154">
        <v>1</v>
      </c>
      <c r="C11" s="155" t="s">
        <v>58</v>
      </c>
      <c r="D11" s="156">
        <v>15000</v>
      </c>
      <c r="E11" s="160"/>
    </row>
    <row r="12" spans="1:5" ht="15" thickBot="1" x14ac:dyDescent="0.4">
      <c r="A12" s="195"/>
      <c r="B12" s="196"/>
      <c r="C12" s="197"/>
      <c r="D12" s="157">
        <f>SUM(D10:D11)</f>
        <v>35000</v>
      </c>
      <c r="E12" s="161">
        <v>35000</v>
      </c>
    </row>
    <row r="13" spans="1:5" ht="15" thickBot="1" x14ac:dyDescent="0.4">
      <c r="A13" s="153" t="s">
        <v>81</v>
      </c>
      <c r="B13" s="155"/>
      <c r="C13" s="155"/>
      <c r="D13" s="155"/>
      <c r="E13" s="160">
        <v>10000</v>
      </c>
    </row>
    <row r="14" spans="1:5" ht="15" thickBot="1" x14ac:dyDescent="0.4">
      <c r="A14" s="198" t="s">
        <v>76</v>
      </c>
      <c r="B14" s="199"/>
      <c r="C14" s="199"/>
      <c r="D14" s="200"/>
      <c r="E14" s="160"/>
    </row>
    <row r="15" spans="1:5" ht="15" thickBot="1" x14ac:dyDescent="0.4">
      <c r="A15" s="150" t="s">
        <v>69</v>
      </c>
      <c r="B15" s="151" t="s">
        <v>70</v>
      </c>
      <c r="C15" s="151" t="s">
        <v>6</v>
      </c>
      <c r="D15" s="151" t="s">
        <v>71</v>
      </c>
      <c r="E15" s="160"/>
    </row>
    <row r="16" spans="1:5" ht="15" thickBot="1" x14ac:dyDescent="0.4">
      <c r="A16" s="153" t="s">
        <v>72</v>
      </c>
      <c r="B16" s="154">
        <v>1</v>
      </c>
      <c r="C16" s="155" t="s">
        <v>73</v>
      </c>
      <c r="D16" s="156">
        <v>20000</v>
      </c>
      <c r="E16" s="160"/>
    </row>
    <row r="17" spans="1:5" ht="15" thickBot="1" x14ac:dyDescent="0.4">
      <c r="A17" s="153" t="s">
        <v>74</v>
      </c>
      <c r="B17" s="154">
        <v>1</v>
      </c>
      <c r="C17" s="155" t="s">
        <v>58</v>
      </c>
      <c r="D17" s="156">
        <v>20000</v>
      </c>
      <c r="E17" s="160"/>
    </row>
    <row r="18" spans="1:5" ht="15" thickBot="1" x14ac:dyDescent="0.4">
      <c r="A18" s="195"/>
      <c r="B18" s="196"/>
      <c r="C18" s="197"/>
      <c r="D18" s="157">
        <v>40000</v>
      </c>
      <c r="E18" s="161">
        <v>40000</v>
      </c>
    </row>
    <row r="19" spans="1:5" ht="15" thickBot="1" x14ac:dyDescent="0.4">
      <c r="A19" s="153" t="s">
        <v>81</v>
      </c>
      <c r="B19" s="155"/>
      <c r="C19" s="155"/>
      <c r="D19" s="155"/>
      <c r="E19" s="160">
        <v>10000</v>
      </c>
    </row>
    <row r="20" spans="1:5" ht="15" thickBot="1" x14ac:dyDescent="0.4">
      <c r="A20" s="198" t="s">
        <v>77</v>
      </c>
      <c r="B20" s="199"/>
      <c r="C20" s="199"/>
      <c r="D20" s="200"/>
      <c r="E20" s="160"/>
    </row>
    <row r="21" spans="1:5" ht="15" thickBot="1" x14ac:dyDescent="0.4">
      <c r="A21" s="150" t="s">
        <v>69</v>
      </c>
      <c r="B21" s="151" t="s">
        <v>70</v>
      </c>
      <c r="C21" s="151" t="s">
        <v>6</v>
      </c>
      <c r="D21" s="151" t="s">
        <v>71</v>
      </c>
      <c r="E21" s="160"/>
    </row>
    <row r="22" spans="1:5" ht="15" thickBot="1" x14ac:dyDescent="0.4">
      <c r="A22" s="153" t="s">
        <v>72</v>
      </c>
      <c r="B22" s="154">
        <v>2</v>
      </c>
      <c r="C22" s="155" t="s">
        <v>73</v>
      </c>
      <c r="D22" s="156">
        <v>40000</v>
      </c>
      <c r="E22" s="160"/>
    </row>
    <row r="23" spans="1:5" ht="15" thickBot="1" x14ac:dyDescent="0.4">
      <c r="A23" s="153" t="s">
        <v>74</v>
      </c>
      <c r="B23" s="154">
        <v>1</v>
      </c>
      <c r="C23" s="155" t="s">
        <v>58</v>
      </c>
      <c r="D23" s="156">
        <v>30000</v>
      </c>
      <c r="E23" s="160"/>
    </row>
    <row r="24" spans="1:5" ht="15" thickBot="1" x14ac:dyDescent="0.4">
      <c r="A24" s="195"/>
      <c r="B24" s="196"/>
      <c r="C24" s="197"/>
      <c r="D24" s="157">
        <v>70000</v>
      </c>
      <c r="E24" s="161">
        <v>70000</v>
      </c>
    </row>
    <row r="25" spans="1:5" ht="15" thickBot="1" x14ac:dyDescent="0.4">
      <c r="A25" s="153" t="s">
        <v>81</v>
      </c>
      <c r="B25" s="155"/>
      <c r="C25" s="155"/>
      <c r="D25" s="155"/>
      <c r="E25" s="160">
        <v>15000</v>
      </c>
    </row>
    <row r="26" spans="1:5" ht="15" thickBot="1" x14ac:dyDescent="0.4">
      <c r="A26" s="198" t="s">
        <v>78</v>
      </c>
      <c r="B26" s="199"/>
      <c r="C26" s="199"/>
      <c r="D26" s="200"/>
      <c r="E26" s="160"/>
    </row>
    <row r="27" spans="1:5" ht="15" thickBot="1" x14ac:dyDescent="0.4">
      <c r="A27" s="150" t="s">
        <v>69</v>
      </c>
      <c r="B27" s="151" t="s">
        <v>70</v>
      </c>
      <c r="C27" s="151" t="s">
        <v>6</v>
      </c>
      <c r="D27" s="151" t="s">
        <v>71</v>
      </c>
      <c r="E27" s="160"/>
    </row>
    <row r="28" spans="1:5" ht="15" thickBot="1" x14ac:dyDescent="0.4">
      <c r="A28" s="153" t="s">
        <v>72</v>
      </c>
      <c r="B28" s="154">
        <v>2</v>
      </c>
      <c r="C28" s="155" t="s">
        <v>73</v>
      </c>
      <c r="D28" s="156">
        <v>40000</v>
      </c>
      <c r="E28" s="160"/>
    </row>
    <row r="29" spans="1:5" ht="15" thickBot="1" x14ac:dyDescent="0.4">
      <c r="A29" s="153" t="s">
        <v>74</v>
      </c>
      <c r="B29" s="154">
        <v>1</v>
      </c>
      <c r="C29" s="155" t="s">
        <v>58</v>
      </c>
      <c r="D29" s="156">
        <v>30000</v>
      </c>
      <c r="E29" s="160"/>
    </row>
    <row r="30" spans="1:5" ht="15" thickBot="1" x14ac:dyDescent="0.4">
      <c r="A30" s="195"/>
      <c r="B30" s="196"/>
      <c r="C30" s="197"/>
      <c r="D30" s="157">
        <v>70000</v>
      </c>
      <c r="E30" s="161">
        <v>70000</v>
      </c>
    </row>
    <row r="31" spans="1:5" ht="15" thickBot="1" x14ac:dyDescent="0.4">
      <c r="A31" s="153" t="s">
        <v>81</v>
      </c>
      <c r="B31" s="155"/>
      <c r="C31" s="155"/>
      <c r="D31" s="155"/>
      <c r="E31" s="160">
        <v>10000</v>
      </c>
    </row>
    <row r="32" spans="1:5" ht="15" thickBot="1" x14ac:dyDescent="0.4">
      <c r="A32" s="198" t="s">
        <v>79</v>
      </c>
      <c r="B32" s="199"/>
      <c r="C32" s="199"/>
      <c r="D32" s="200"/>
      <c r="E32" s="160"/>
    </row>
    <row r="33" spans="1:5" ht="15" thickBot="1" x14ac:dyDescent="0.4">
      <c r="A33" s="150" t="s">
        <v>69</v>
      </c>
      <c r="B33" s="151" t="s">
        <v>70</v>
      </c>
      <c r="C33" s="151" t="s">
        <v>6</v>
      </c>
      <c r="D33" s="151" t="s">
        <v>71</v>
      </c>
      <c r="E33" s="160"/>
    </row>
    <row r="34" spans="1:5" ht="15" thickBot="1" x14ac:dyDescent="0.4">
      <c r="A34" s="153" t="s">
        <v>72</v>
      </c>
      <c r="B34" s="154">
        <v>2</v>
      </c>
      <c r="C34" s="155" t="s">
        <v>73</v>
      </c>
      <c r="D34" s="156">
        <v>40000</v>
      </c>
      <c r="E34" s="160"/>
    </row>
    <row r="35" spans="1:5" ht="15" thickBot="1" x14ac:dyDescent="0.4">
      <c r="A35" s="153" t="s">
        <v>74</v>
      </c>
      <c r="B35" s="154">
        <v>1</v>
      </c>
      <c r="C35" s="155" t="s">
        <v>58</v>
      </c>
      <c r="D35" s="156">
        <v>30000</v>
      </c>
      <c r="E35" s="160"/>
    </row>
    <row r="36" spans="1:5" ht="15" thickBot="1" x14ac:dyDescent="0.4">
      <c r="A36" s="195"/>
      <c r="B36" s="196"/>
      <c r="C36" s="197"/>
      <c r="D36" s="157">
        <v>70000</v>
      </c>
      <c r="E36" s="161">
        <v>70000</v>
      </c>
    </row>
    <row r="37" spans="1:5" ht="15" thickBot="1" x14ac:dyDescent="0.4">
      <c r="A37" s="153" t="s">
        <v>81</v>
      </c>
      <c r="B37" s="155"/>
      <c r="C37" s="155"/>
      <c r="D37" s="155"/>
      <c r="E37" s="160">
        <v>15000</v>
      </c>
    </row>
    <row r="38" spans="1:5" ht="15" thickBot="1" x14ac:dyDescent="0.4">
      <c r="A38" s="153"/>
      <c r="B38" s="155"/>
      <c r="C38" s="155"/>
      <c r="D38" s="155"/>
      <c r="E38" s="158"/>
    </row>
    <row r="39" spans="1:5" ht="15" thickBot="1" x14ac:dyDescent="0.4">
      <c r="A39" s="153"/>
      <c r="B39" s="155"/>
      <c r="C39" s="155"/>
      <c r="D39" s="159" t="s">
        <v>80</v>
      </c>
      <c r="E39" s="162">
        <f>SUM(E4:E38)</f>
        <v>400000</v>
      </c>
    </row>
  </sheetData>
  <mergeCells count="12">
    <mergeCell ref="A36:C36"/>
    <mergeCell ref="A2:D2"/>
    <mergeCell ref="A6:C6"/>
    <mergeCell ref="A8:D8"/>
    <mergeCell ref="A12:C12"/>
    <mergeCell ref="A14:D14"/>
    <mergeCell ref="A18:C18"/>
    <mergeCell ref="A20:D20"/>
    <mergeCell ref="A24:C24"/>
    <mergeCell ref="A26:D26"/>
    <mergeCell ref="A30:C30"/>
    <mergeCell ref="A32:D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defaultRowHeight="14.5" x14ac:dyDescent="0.35"/>
  <cols>
    <col min="2" max="2" width="30.54296875" customWidth="1"/>
    <col min="5" max="5" width="15.7265625" customWidth="1"/>
    <col min="6" max="6" width="15.1796875" bestFit="1" customWidth="1"/>
    <col min="7" max="7" width="9.6328125" customWidth="1"/>
    <col min="8" max="8" width="11.26953125" customWidth="1"/>
  </cols>
  <sheetData>
    <row r="1" spans="1:8" x14ac:dyDescent="0.35">
      <c r="C1" s="174" t="s">
        <v>127</v>
      </c>
      <c r="D1" s="174" t="s">
        <v>128</v>
      </c>
      <c r="E1" s="174" t="s">
        <v>119</v>
      </c>
      <c r="F1" s="204" t="s">
        <v>138</v>
      </c>
      <c r="G1" s="204"/>
      <c r="H1" s="204" t="s">
        <v>141</v>
      </c>
    </row>
    <row r="2" spans="1:8" x14ac:dyDescent="0.35">
      <c r="A2" s="206" t="s">
        <v>130</v>
      </c>
      <c r="B2" s="174" t="s">
        <v>115</v>
      </c>
    </row>
    <row r="3" spans="1:8" ht="24.5" customHeight="1" x14ac:dyDescent="0.35">
      <c r="A3" s="206"/>
      <c r="B3" s="201" t="s">
        <v>117</v>
      </c>
      <c r="C3" s="209">
        <v>44751</v>
      </c>
      <c r="D3" s="209">
        <v>44752</v>
      </c>
      <c r="E3" t="s">
        <v>139</v>
      </c>
      <c r="F3" s="173">
        <v>2</v>
      </c>
      <c r="G3" s="4" t="s">
        <v>58</v>
      </c>
    </row>
    <row r="4" spans="1:8" ht="24.5" customHeight="1" x14ac:dyDescent="0.35">
      <c r="A4" s="206"/>
      <c r="B4" s="201"/>
      <c r="C4" s="209"/>
      <c r="D4" s="209">
        <v>44752</v>
      </c>
      <c r="E4" s="202"/>
      <c r="F4" s="114"/>
      <c r="H4" s="202"/>
    </row>
    <row r="5" spans="1:8" ht="29" x14ac:dyDescent="0.35">
      <c r="A5" s="206"/>
      <c r="B5" s="210" t="s">
        <v>116</v>
      </c>
      <c r="C5" s="205">
        <v>44751</v>
      </c>
      <c r="D5" s="205">
        <v>44752</v>
      </c>
      <c r="E5" s="175" t="s">
        <v>142</v>
      </c>
      <c r="F5" s="175" t="s">
        <v>142</v>
      </c>
    </row>
    <row r="6" spans="1:8" x14ac:dyDescent="0.35">
      <c r="A6" s="206"/>
      <c r="B6" s="174" t="s">
        <v>129</v>
      </c>
      <c r="F6" s="173"/>
    </row>
    <row r="7" spans="1:8" ht="27" customHeight="1" x14ac:dyDescent="0.35">
      <c r="A7" s="206"/>
      <c r="B7" s="201" t="s">
        <v>118</v>
      </c>
      <c r="C7" s="211">
        <v>44753</v>
      </c>
      <c r="D7" s="211">
        <v>44755</v>
      </c>
      <c r="E7" s="212" t="s">
        <v>120</v>
      </c>
      <c r="F7" s="213">
        <v>15</v>
      </c>
      <c r="G7" t="s">
        <v>135</v>
      </c>
    </row>
    <row r="8" spans="1:8" x14ac:dyDescent="0.35">
      <c r="A8" s="206"/>
      <c r="B8" s="201"/>
      <c r="C8" s="211"/>
      <c r="D8" s="211"/>
      <c r="E8" s="212" t="s">
        <v>121</v>
      </c>
      <c r="F8" s="213">
        <v>1</v>
      </c>
      <c r="G8" t="s">
        <v>134</v>
      </c>
    </row>
    <row r="9" spans="1:8" x14ac:dyDescent="0.35">
      <c r="A9" s="206"/>
      <c r="B9" s="201"/>
      <c r="C9" s="211"/>
      <c r="D9" s="211"/>
      <c r="E9" s="212" t="s">
        <v>122</v>
      </c>
      <c r="F9" s="213">
        <v>1</v>
      </c>
      <c r="G9" t="s">
        <v>136</v>
      </c>
    </row>
    <row r="10" spans="1:8" x14ac:dyDescent="0.35">
      <c r="A10" s="206"/>
      <c r="B10" s="201"/>
      <c r="C10" s="211"/>
      <c r="D10" s="211"/>
      <c r="E10" s="175" t="s">
        <v>126</v>
      </c>
      <c r="F10" s="173">
        <v>20</v>
      </c>
      <c r="G10" t="s">
        <v>137</v>
      </c>
    </row>
    <row r="11" spans="1:8" x14ac:dyDescent="0.35">
      <c r="A11" s="206"/>
      <c r="B11" s="201"/>
      <c r="C11" s="211"/>
      <c r="D11" s="211"/>
      <c r="E11" s="175" t="s">
        <v>86</v>
      </c>
      <c r="F11" s="173">
        <v>10</v>
      </c>
      <c r="G11" t="s">
        <v>73</v>
      </c>
    </row>
    <row r="12" spans="1:8" ht="9.5" customHeight="1" x14ac:dyDescent="0.35">
      <c r="E12" s="175"/>
    </row>
    <row r="13" spans="1:8" x14ac:dyDescent="0.35">
      <c r="A13" s="208" t="s">
        <v>132</v>
      </c>
      <c r="B13" s="207" t="s">
        <v>131</v>
      </c>
    </row>
    <row r="14" spans="1:8" x14ac:dyDescent="0.35">
      <c r="A14" s="208"/>
      <c r="B14" t="s">
        <v>123</v>
      </c>
      <c r="E14" s="175" t="s">
        <v>125</v>
      </c>
    </row>
    <row r="15" spans="1:8" ht="29" customHeight="1" x14ac:dyDescent="0.35">
      <c r="A15" s="208"/>
      <c r="B15" s="19" t="s">
        <v>124</v>
      </c>
      <c r="E15" s="203" t="s">
        <v>133</v>
      </c>
    </row>
    <row r="16" spans="1:8" ht="9.5" customHeight="1" x14ac:dyDescent="0.35">
      <c r="E16" s="203"/>
    </row>
    <row r="17" spans="1:5" x14ac:dyDescent="0.35">
      <c r="A17" s="208" t="s">
        <v>146</v>
      </c>
      <c r="B17" t="s">
        <v>143</v>
      </c>
      <c r="E17" s="203" t="s">
        <v>140</v>
      </c>
    </row>
    <row r="18" spans="1:5" x14ac:dyDescent="0.35">
      <c r="A18" s="208"/>
      <c r="B18" t="s">
        <v>144</v>
      </c>
    </row>
    <row r="19" spans="1:5" ht="43.5" x14ac:dyDescent="0.35">
      <c r="A19" s="208"/>
      <c r="B19" s="19" t="s">
        <v>147</v>
      </c>
      <c r="E19" s="203" t="s">
        <v>133</v>
      </c>
    </row>
    <row r="20" spans="1:5" ht="39.5" x14ac:dyDescent="0.35">
      <c r="A20" s="208"/>
      <c r="B20" s="214" t="s">
        <v>145</v>
      </c>
      <c r="E20" s="203" t="s">
        <v>133</v>
      </c>
    </row>
  </sheetData>
  <mergeCells count="9">
    <mergeCell ref="A13:A15"/>
    <mergeCell ref="B3:B4"/>
    <mergeCell ref="C3:C4"/>
    <mergeCell ref="D3:D4"/>
    <mergeCell ref="B7:B11"/>
    <mergeCell ref="A2:A11"/>
    <mergeCell ref="C7:C11"/>
    <mergeCell ref="D7:D11"/>
    <mergeCell ref="A17:A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QUOTE TEMPLATE</vt:lpstr>
      <vt:lpstr>Sheet1</vt:lpstr>
      <vt:lpstr>Stage 1</vt:lpstr>
      <vt:lpstr>'QUOTE TEMPLATE'!Print_Area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2022-07-06T12:29:29Z</cp:lastPrinted>
  <dcterms:created xsi:type="dcterms:W3CDTF">2016-06-08T04:02:40Z</dcterms:created>
  <dcterms:modified xsi:type="dcterms:W3CDTF">2022-07-08T13:39:40Z</dcterms:modified>
</cp:coreProperties>
</file>